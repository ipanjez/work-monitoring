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365mic-my.sharepoint.com/personal/ipanjez_365mic_onmicrosoft_com/Documents/Learn/Coding/Dashboard Proyek Soda Ash/"/>
    </mc:Choice>
  </mc:AlternateContent>
  <xr:revisionPtr revIDLastSave="58" documentId="11_B8A58782835CD14CE2B880A2D04F4B6D4E342DF7" xr6:coauthVersionLast="47" xr6:coauthVersionMax="47" xr10:uidLastSave="{4AB56CAD-EE82-4EF1-95BF-E8839B60C234}"/>
  <bookViews>
    <workbookView xWindow="-98" yWindow="-98" windowWidth="21795" windowHeight="12975" tabRatio="500" firstSheet="1" activeTab="4" xr2:uid="{00000000-000D-0000-FFFF-FFFF00000000}"/>
  </bookViews>
  <sheets>
    <sheet name="Panduan" sheetId="1" r:id="rId1"/>
    <sheet name="Config" sheetId="2" r:id="rId2"/>
    <sheet name="Referensi_Threshold" sheetId="3" r:id="rId3"/>
    <sheet name="Dashboard" sheetId="4" r:id="rId4"/>
    <sheet name="Input_Bulanan" sheetId="5" r:id="rId5"/>
    <sheet name="Risk_Action_Tracker" sheetId="6" r:id="rId6"/>
  </sheets>
  <definedNames>
    <definedName name="_xlnm.Print_Area" localSheetId="3">Dashboard!$A$1:$W$37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6" l="1"/>
  <c r="E27" i="6"/>
  <c r="D27" i="6"/>
  <c r="C27" i="6"/>
  <c r="B27" i="6"/>
  <c r="F26" i="6"/>
  <c r="E26" i="6"/>
  <c r="D26" i="6"/>
  <c r="C26" i="6"/>
  <c r="B26" i="6"/>
  <c r="F25" i="6"/>
  <c r="E25" i="6"/>
  <c r="D25" i="6"/>
  <c r="C25" i="6"/>
  <c r="B25" i="6"/>
  <c r="F24" i="6"/>
  <c r="E24" i="6"/>
  <c r="D24" i="6"/>
  <c r="C24" i="6"/>
  <c r="B24" i="6"/>
  <c r="C20" i="6"/>
  <c r="C19" i="6"/>
  <c r="C18" i="6"/>
  <c r="C17" i="6"/>
  <c r="Z15" i="6"/>
  <c r="Z14" i="6"/>
  <c r="Z13" i="6"/>
  <c r="Z12" i="6"/>
  <c r="Z11" i="6"/>
  <c r="Z10" i="6"/>
  <c r="Z9" i="6"/>
  <c r="Z8" i="6"/>
  <c r="Z7" i="6"/>
  <c r="Z6" i="6"/>
  <c r="B36" i="4"/>
  <c r="K30" i="4"/>
  <c r="G30" i="4"/>
  <c r="B30" i="4"/>
  <c r="K29" i="4"/>
  <c r="G29" i="4"/>
  <c r="B29" i="4"/>
  <c r="K28" i="4"/>
  <c r="G28" i="4"/>
  <c r="B28" i="4"/>
  <c r="P24" i="4"/>
  <c r="P23" i="4"/>
  <c r="P22" i="4"/>
  <c r="P21" i="4"/>
  <c r="P17" i="4"/>
  <c r="R16" i="4"/>
  <c r="P16" i="4"/>
  <c r="R15" i="4"/>
  <c r="P15" i="4"/>
  <c r="J15" i="4"/>
  <c r="R14" i="4"/>
  <c r="P14" i="4"/>
  <c r="J14" i="4"/>
  <c r="R13" i="4"/>
  <c r="P13" i="4"/>
  <c r="J13" i="4"/>
  <c r="W10" i="4"/>
  <c r="V10" i="4"/>
  <c r="U10" i="4"/>
  <c r="T10" i="4"/>
  <c r="S10" i="4"/>
  <c r="W9" i="4"/>
  <c r="V9" i="4"/>
  <c r="U9" i="4"/>
  <c r="T9" i="4"/>
  <c r="S9" i="4"/>
  <c r="W8" i="4"/>
  <c r="V8" i="4"/>
  <c r="U8" i="4"/>
  <c r="T8" i="4"/>
  <c r="S8" i="4"/>
  <c r="W7" i="4"/>
  <c r="V7" i="4"/>
  <c r="U7" i="4"/>
  <c r="T7" i="4"/>
  <c r="S7" i="4"/>
  <c r="W6" i="4"/>
  <c r="V6" i="4"/>
  <c r="U6" i="4"/>
  <c r="T6" i="4"/>
  <c r="S6" i="4"/>
  <c r="B2" i="4"/>
  <c r="B151" i="3"/>
  <c r="A151" i="3"/>
  <c r="B150" i="3"/>
  <c r="A150" i="3"/>
  <c r="B149" i="3"/>
  <c r="A149" i="3"/>
  <c r="B148" i="3"/>
  <c r="A148" i="3"/>
  <c r="B147" i="3"/>
  <c r="A147" i="3"/>
  <c r="A139" i="3"/>
  <c r="B127" i="3"/>
  <c r="B126" i="3"/>
  <c r="B81" i="3"/>
  <c r="B80" i="3"/>
  <c r="B79" i="3"/>
  <c r="C76" i="3"/>
  <c r="B76" i="3"/>
  <c r="A76" i="3"/>
  <c r="C75" i="3"/>
  <c r="B75" i="3"/>
  <c r="A75" i="3"/>
  <c r="C74" i="3"/>
  <c r="B74" i="3"/>
  <c r="A74" i="3"/>
  <c r="C73" i="3"/>
  <c r="B73" i="3"/>
  <c r="A73" i="3"/>
  <c r="C72" i="3"/>
  <c r="B72" i="3"/>
  <c r="A72" i="3"/>
  <c r="C67" i="3"/>
  <c r="B67" i="3"/>
  <c r="C66" i="3"/>
  <c r="B66" i="3"/>
  <c r="C65" i="3"/>
  <c r="B65" i="3"/>
  <c r="C64" i="3"/>
  <c r="B64" i="3"/>
  <c r="C63" i="3"/>
  <c r="B63" i="3"/>
  <c r="C59" i="3"/>
  <c r="B59" i="3"/>
  <c r="C58" i="3"/>
  <c r="B58" i="3"/>
  <c r="C57" i="3"/>
  <c r="B57" i="3"/>
  <c r="C56" i="3"/>
  <c r="B56" i="3"/>
  <c r="C55" i="3"/>
  <c r="B55" i="3"/>
  <c r="F50" i="3"/>
  <c r="E50" i="3"/>
  <c r="D50" i="3"/>
  <c r="C50" i="3"/>
  <c r="F49" i="3"/>
  <c r="E49" i="3"/>
  <c r="D49" i="3"/>
  <c r="C49" i="3"/>
  <c r="F48" i="3"/>
  <c r="E48" i="3"/>
  <c r="D48" i="3"/>
  <c r="C48" i="3"/>
  <c r="F47" i="3"/>
  <c r="E47" i="3"/>
  <c r="D47" i="3"/>
  <c r="C47" i="3"/>
  <c r="F46" i="3"/>
  <c r="E46" i="3"/>
  <c r="D46" i="3"/>
  <c r="C46" i="3"/>
  <c r="F45" i="3"/>
  <c r="E45" i="3"/>
  <c r="D45" i="3"/>
  <c r="C45" i="3"/>
  <c r="B42" i="3"/>
  <c r="B33" i="3"/>
  <c r="B25" i="3"/>
  <c r="A14" i="3"/>
  <c r="D11" i="3"/>
  <c r="D10" i="3"/>
  <c r="D9" i="3"/>
  <c r="D8" i="3"/>
  <c r="D7" i="3"/>
  <c r="B24" i="2"/>
  <c r="B17" i="2"/>
  <c r="I78" i="5"/>
  <c r="H78" i="5"/>
  <c r="I77" i="5"/>
  <c r="H77" i="5"/>
  <c r="I76" i="5"/>
  <c r="H76" i="5"/>
  <c r="I75" i="5"/>
  <c r="H75" i="5"/>
  <c r="H69" i="5"/>
  <c r="H68" i="5"/>
  <c r="H67" i="5"/>
  <c r="D57" i="5"/>
  <c r="P18" i="4" s="1"/>
  <c r="E47" i="5"/>
  <c r="E46" i="5"/>
  <c r="E45" i="5"/>
  <c r="E41" i="5"/>
  <c r="F41" i="5" s="1"/>
  <c r="C41" i="5"/>
  <c r="E40" i="5"/>
  <c r="F40" i="5" s="1"/>
  <c r="C40" i="5"/>
  <c r="E39" i="5"/>
  <c r="E38" i="5"/>
  <c r="F38" i="5" s="1"/>
  <c r="C38" i="5"/>
  <c r="E37" i="5"/>
  <c r="F37" i="5" s="1"/>
  <c r="C37" i="5"/>
  <c r="E36" i="5"/>
  <c r="F36" i="5" s="1"/>
  <c r="C36" i="5"/>
  <c r="E31" i="5"/>
  <c r="F31" i="5" s="1"/>
  <c r="C31" i="5"/>
  <c r="E30" i="5"/>
  <c r="F30" i="5" s="1"/>
  <c r="C30" i="5"/>
  <c r="E29" i="5"/>
  <c r="F29" i="5" s="1"/>
  <c r="C29" i="5"/>
  <c r="E28" i="5"/>
  <c r="F28" i="5" s="1"/>
  <c r="C28" i="5"/>
  <c r="E27" i="5"/>
  <c r="C27" i="5"/>
  <c r="E23" i="5"/>
  <c r="F23" i="5" s="1"/>
  <c r="C23" i="5"/>
  <c r="E22" i="5"/>
  <c r="F22" i="5" s="1"/>
  <c r="C22" i="5"/>
  <c r="E21" i="5"/>
  <c r="F21" i="5" s="1"/>
  <c r="C21" i="5"/>
  <c r="E20" i="5"/>
  <c r="F20" i="5" s="1"/>
  <c r="C20" i="5"/>
  <c r="E19" i="5"/>
  <c r="F19" i="5" s="1"/>
  <c r="C19" i="5"/>
  <c r="E18" i="5"/>
  <c r="C18" i="5"/>
  <c r="D15" i="5"/>
  <c r="E16" i="4" s="1"/>
  <c r="D14" i="5"/>
  <c r="E14" i="4" s="1"/>
  <c r="D13" i="5"/>
  <c r="E15" i="4" s="1"/>
  <c r="D12" i="5"/>
  <c r="E13" i="4" s="1"/>
  <c r="G4" i="5"/>
  <c r="D4" i="5"/>
  <c r="S16" i="4" l="1"/>
  <c r="G27" i="6"/>
  <c r="S15" i="4"/>
  <c r="G26" i="6"/>
  <c r="G25" i="6"/>
  <c r="S14" i="4"/>
  <c r="G24" i="6"/>
  <c r="S13" i="4"/>
  <c r="M30" i="4"/>
  <c r="N30" i="4"/>
  <c r="O30" i="4"/>
  <c r="O29" i="4"/>
  <c r="M29" i="4"/>
  <c r="N29" i="4"/>
  <c r="N28" i="4"/>
  <c r="O28" i="4"/>
  <c r="M28" i="4"/>
  <c r="E42" i="5"/>
  <c r="C39" i="5"/>
  <c r="F39" i="5"/>
  <c r="F42" i="5" s="1"/>
  <c r="D42" i="5" s="1"/>
  <c r="K10" i="4" s="1"/>
  <c r="D47" i="5"/>
  <c r="F27" i="5"/>
  <c r="F32" i="5" s="1"/>
  <c r="D32" i="5" s="1"/>
  <c r="E32" i="5"/>
  <c r="F18" i="5"/>
  <c r="F24" i="5" s="1"/>
  <c r="D24" i="5" s="1"/>
  <c r="E24" i="5"/>
  <c r="K8" i="4" l="1"/>
  <c r="D46" i="5"/>
  <c r="D45" i="5"/>
  <c r="D48" i="5" s="1"/>
  <c r="K6" i="4"/>
  <c r="B6" i="4"/>
  <c r="B10" i="4" s="1"/>
  <c r="D49" i="5" l="1"/>
  <c r="M6" i="4" s="1"/>
  <c r="M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tc={2B3C1898-793A-44C4-8571-254ED6A706E4}</author>
    <author>ASUS</author>
  </authors>
  <commentList>
    <comment ref="L5" authorId="0" shapeId="0" xr:uid="{2B3C1898-793A-44C4-8571-254ED6A706E4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Discussed</t>
      </text>
    </comment>
    <comment ref="L6" authorId="1" shapeId="0" xr:uid="{44E9ECFE-3527-46DE-AB56-2F7D23C98731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Mengendalikan cost overrun</t>
        </r>
      </text>
    </comment>
    <comment ref="L8" authorId="1" shapeId="0" xr:uid="{77321737-158F-4BDD-AD2A-A03BEC877E3C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Menjamin likuiditas proyek</t>
        </r>
      </text>
    </comment>
    <comment ref="L12" authorId="1" shapeId="0" xr:uid="{ABD1D970-BC46-46CB-86D9-EACF074D4AB4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Menjamin proyek tidak berhenti karena dana</t>
        </r>
      </text>
    </comment>
    <comment ref="L16" authorId="1" shapeId="0" xr:uid="{750AF877-AF4F-45A9-AF88-D7683CB258B9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Mengukur ruang mitigasi biaya tak terduga</t>
        </r>
      </text>
    </comment>
    <comment ref="L18" authorId="1" shapeId="0" xr:uid="{223F1BB4-185C-4AFA-AC55-92C97625887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Mengukur potensi pembengkakan biaya akibat kontrak</t>
        </r>
      </text>
    </comment>
    <comment ref="L22" authorId="1" shapeId="0" xr:uid="{829024C3-461C-426F-B3E6-BCF7EC1DCA05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Menilai kelayakan investasi tetap terjaga</t>
        </r>
      </text>
    </comment>
    <comment ref="L24" authorId="1" shapeId="0" xr:uid="{CBD19578-8AE8-4337-BC22-7C28C8912631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Menghindari risiko gagal memenuhi persyaratan pendanaan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00000000-0006-0000-0300-000001000000}">
      <text>
        <r>
          <rPr>
            <sz val="11"/>
            <color theme="1"/>
            <rFont val="Calibri"/>
            <family val="2"/>
            <charset val="1"/>
          </rPr>
          <t>Komposit 5 pilar kesehatan (Financial, Schedule, SRI, PEI, CRI) masing-masing berbobot 20%.</t>
        </r>
      </text>
    </comment>
    <comment ref="G6" authorId="0" shapeId="0" xr:uid="{00000000-0006-0000-0300-000002000000}">
      <text>
        <r>
          <rPr>
            <sz val="11"/>
            <color theme="1"/>
            <rFont val="Calibri"/>
            <family val="2"/>
            <charset val="1"/>
          </rPr>
          <t>Kesiapan hulu: kontrak garam, inventori, kualifikasi pemasok, kesiapan pelabuhan &amp; utilitas.</t>
        </r>
      </text>
    </comment>
    <comment ref="M6" authorId="0" shapeId="0" xr:uid="{00000000-0006-0000-0300-000003000000}">
      <text>
        <r>
          <rPr>
            <sz val="11"/>
            <color theme="1"/>
            <rFont val="Calibri"/>
            <family val="2"/>
            <charset val="1"/>
          </rPr>
          <t>5 tingkat sesuai Pedoman Manajemen Risiko PKT: Low / Low to Moderate / Moderate / Moderate to High / High.</t>
        </r>
      </text>
    </comment>
    <comment ref="G8" authorId="0" shapeId="0" xr:uid="{00000000-0006-0000-0300-000004000000}">
      <text>
        <r>
          <rPr>
            <sz val="11"/>
            <color theme="1"/>
            <rFont val="Calibri"/>
            <family val="2"/>
            <charset val="1"/>
          </rPr>
          <t>Progres fisik EPC: engineering, procurement, construction, commissioning preparation.</t>
        </r>
      </text>
    </comment>
    <comment ref="G10" authorId="0" shapeId="0" xr:uid="{00000000-0006-0000-0300-000005000000}">
      <text>
        <r>
          <rPr>
            <sz val="11"/>
            <color theme="1"/>
            <rFont val="Calibri"/>
            <family val="2"/>
            <charset val="1"/>
          </rPr>
          <t>Kesiapan komersial: offtake, strategi pemasaran, distribusi, tim operasi, kualifikasi produk.</t>
        </r>
      </text>
    </comment>
    <comment ref="B13" authorId="0" shapeId="0" xr:uid="{00000000-0006-0000-0300-000006000000}">
      <text>
        <r>
          <rPr>
            <sz val="11"/>
            <color theme="1"/>
            <rFont val="Calibri"/>
            <family val="2"/>
            <charset val="1"/>
          </rPr>
          <t>CPI = EV/AC. Mengukur efisiensi biaya: &gt;=1,00 berarti proyek di bawah/sesuai anggaran.</t>
        </r>
      </text>
    </comment>
    <comment ref="B14" authorId="0" shapeId="0" xr:uid="{00000000-0006-0000-0300-000007000000}">
      <text>
        <r>
          <rPr>
            <sz val="11"/>
            <color theme="1"/>
            <rFont val="Calibri"/>
            <family val="2"/>
            <charset val="1"/>
          </rPr>
          <t>SPI = EV/PV. Mengukur kepatuhan jadwal terhadap master schedule baseline.</t>
        </r>
      </text>
    </comment>
    <comment ref="B15" authorId="0" shapeId="0" xr:uid="{00000000-0006-0000-0300-000008000000}">
      <text>
        <r>
          <rPr>
            <sz val="11"/>
            <color theme="1"/>
            <rFont val="Calibri"/>
            <family val="2"/>
            <charset val="1"/>
          </rPr>
          <t>CV = EV-AC. Nilai negatif berarti pembengkakan biaya (cost overrun).</t>
        </r>
      </text>
    </comment>
    <comment ref="B16" authorId="0" shapeId="0" xr:uid="{00000000-0006-0000-0300-000009000000}">
      <text>
        <r>
          <rPr>
            <sz val="11"/>
            <color theme="1"/>
            <rFont val="Calibri"/>
            <family val="2"/>
            <charset val="1"/>
          </rPr>
          <t>SV = EV-PV. Nilai negatif berarti keterlambatan progres terhadap rencana.</t>
        </r>
      </text>
    </comment>
    <comment ref="M21" authorId="0" shapeId="0" xr:uid="{00000000-0006-0000-0300-00000A000000}">
      <text>
        <r>
          <rPr>
            <sz val="11"/>
            <color theme="1"/>
            <rFont val="Calibri"/>
            <family val="2"/>
            <charset val="1"/>
          </rPr>
          <t>Persentase rencana mitigasi yang telah selesai dilaksanakan dari total rencana aksi.</t>
        </r>
      </text>
    </comment>
    <comment ref="M22" authorId="0" shapeId="0" xr:uid="{00000000-0006-0000-0300-00000B000000}">
      <text>
        <r>
          <rPr>
            <sz val="11"/>
            <color theme="1"/>
            <rFont val="Calibri"/>
            <family val="2"/>
            <charset val="1"/>
          </rPr>
          <t>Persentase mitigasi yang berjalan sesuai linimasa rencana.</t>
        </r>
      </text>
    </comment>
    <comment ref="M23" authorId="0" shapeId="0" xr:uid="{00000000-0006-0000-0300-00000C000000}">
      <text>
        <r>
          <rPr>
            <sz val="11"/>
            <color theme="1"/>
            <rFont val="Calibri"/>
            <family val="2"/>
            <charset val="1"/>
          </rPr>
          <t>Persentase aksi mitigasi yang telah melewati batas waktu penyelesaian.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8" authorId="0" shapeId="0" xr:uid="{00000000-0006-0000-0400-000001000000}">
      <text>
        <r>
          <rPr>
            <sz val="11"/>
            <color theme="1"/>
            <rFont val="Calibri"/>
            <family val="2"/>
            <charset val="1"/>
          </rPr>
          <t>Rencana nilai pekerjaan yang seharusnya diselesaikan pada periode pelaporan berjalan sesuai kurva rencana (S-Curve Baseline).</t>
        </r>
      </text>
    </comment>
    <comment ref="C9" authorId="0" shapeId="0" xr:uid="{00000000-0006-0000-0400-000002000000}">
      <text>
        <r>
          <rPr>
            <sz val="11"/>
            <color theme="1"/>
            <rFont val="Calibri"/>
            <family val="2"/>
            <charset val="1"/>
          </rPr>
          <t>Nilai anggaran dari pekerjaan yang telah diselesaikan secara fisik di lapangan.</t>
        </r>
      </text>
    </comment>
    <comment ref="C10" authorId="0" shapeId="0" xr:uid="{00000000-0006-0000-0400-000003000000}">
      <text>
        <r>
          <rPr>
            <sz val="11"/>
            <color theme="1"/>
            <rFont val="Calibri"/>
            <family val="2"/>
            <charset val="1"/>
          </rPr>
          <t>Total pengeluaran biaya aktual yang telah dibayarkan dan tercatat dalam pembukuan keuangan proyek.</t>
        </r>
      </text>
    </comment>
    <comment ref="C18" authorId="0" shapeId="0" xr:uid="{00000000-0006-0000-0400-000004000000}">
      <text>
        <r>
          <rPr>
            <sz val="11"/>
            <color theme="1"/>
            <rFont val="Calibri"/>
            <family val="2"/>
            <charset val="1"/>
          </rPr>
          <t>Kepastian kontrak pasokan garam industri jangka panjang dengan PT Garam / pemasok luar negeri.</t>
        </r>
      </text>
    </comment>
    <comment ref="C19" authorId="0" shapeId="0" xr:uid="{00000000-0006-0000-0400-000005000000}">
      <text>
        <r>
          <rPr>
            <sz val="11"/>
            <color theme="1"/>
            <rFont val="Calibri"/>
            <family val="2"/>
            <charset val="1"/>
          </rPr>
          <t>Kesiapan &amp; kapasitas gudang penyimpanan garam di pelabuhan dan lokasi pabrik.</t>
        </r>
      </text>
    </comment>
    <comment ref="C20" authorId="0" shapeId="0" xr:uid="{00000000-0006-0000-0400-000006000000}">
      <text>
        <r>
          <rPr>
            <sz val="11"/>
            <color theme="1"/>
            <rFont val="Calibri"/>
            <family val="2"/>
            <charset val="1"/>
          </rPr>
          <t>Pemenuhan kualifikasi teknis &amp; standar kualitas garam dari calon pemasok.
Sub Contract, terkait den</t>
        </r>
      </text>
    </comment>
    <comment ref="C21" authorId="0" shapeId="0" xr:uid="{00000000-0006-0000-0400-000007000000}">
      <text>
        <r>
          <rPr>
            <sz val="11"/>
            <color theme="1"/>
            <rFont val="Calibri"/>
            <family val="2"/>
            <charset val="1"/>
          </rPr>
          <t>Kesiapan fasilitas pelabuhan, armada kapal logistik, jalur bongkar muat garam.</t>
        </r>
      </text>
    </comment>
    <comment ref="C22" authorId="0" shapeId="0" xr:uid="{00000000-0006-0000-0400-000008000000}">
      <text>
        <r>
          <rPr>
            <sz val="11"/>
            <color theme="1"/>
            <rFont val="Calibri"/>
            <family val="2"/>
            <charset val="1"/>
          </rPr>
          <t>Kesiapan tie-in gas bumi (SKK Migas), air proses, uap panas, daya listrik.</t>
        </r>
      </text>
    </comment>
    <comment ref="C27" authorId="0" shapeId="0" xr:uid="{00000000-0006-0000-0400-000009000000}">
      <text>
        <r>
          <rPr>
            <sz val="11"/>
            <color theme="1"/>
            <rFont val="Calibri"/>
            <family val="2"/>
            <charset val="1"/>
          </rPr>
          <t>Penyelesaian gambar kerja detail (DED), spesifikasi teknis, persetujuan vendor drawings.</t>
        </r>
      </text>
    </comment>
    <comment ref="C28" authorId="0" shapeId="0" xr:uid="{00000000-0006-0000-0400-00000A000000}">
      <text>
        <r>
          <rPr>
            <sz val="11"/>
            <color theme="1"/>
            <rFont val="Calibri"/>
            <family val="2"/>
            <charset val="1"/>
          </rPr>
          <t>Kemajuan pengadaan barang, khususnya long lead items (menara karbonasi, kiln, reaktor).</t>
        </r>
      </text>
    </comment>
    <comment ref="C29" authorId="0" shapeId="0" xr:uid="{00000000-0006-0000-0400-00000B000000}">
      <text>
        <r>
          <rPr>
            <sz val="11"/>
            <color theme="1"/>
            <rFont val="Calibri"/>
            <family val="2"/>
            <charset val="1"/>
          </rPr>
          <t>Kemajuan fisik konstruksi sipil, pondasi, struktur baja, mekanikal, kelistrikan, pemipaan.</t>
        </r>
      </text>
    </comment>
    <comment ref="C30" authorId="0" shapeId="0" xr:uid="{00000000-0006-0000-0400-00000C000000}">
      <text>
        <r>
          <rPr>
            <sz val="11"/>
            <color theme="1"/>
            <rFont val="Calibri"/>
            <family val="2"/>
            <charset val="1"/>
          </rPr>
          <t>Dokumen prosedur pengujian, tim start-up, Loop Test instrumen, suku cadang awal.</t>
        </r>
      </text>
    </comment>
    <comment ref="C36" authorId="0" shapeId="0" xr:uid="{00000000-0006-0000-0400-00000D000000}">
      <text>
        <r>
          <rPr>
            <sz val="11"/>
            <color theme="1"/>
            <rFont val="Calibri"/>
            <family val="2"/>
            <charset val="1"/>
          </rPr>
          <t>Volume produk terikat MOU/Offtake Agreement dengan pembeli domestik.</t>
        </r>
      </text>
    </comment>
    <comment ref="C37" authorId="0" shapeId="0" xr:uid="{00000000-0006-0000-0400-00000E000000}">
      <text>
        <r>
          <rPr>
            <sz val="11"/>
            <color theme="1"/>
            <rFont val="Calibri"/>
            <family val="2"/>
            <charset val="1"/>
          </rPr>
          <t>Kesiapan strategi harga kompetitif terhadap produk impor &amp; diversifikasi varian.</t>
        </r>
      </text>
    </comment>
    <comment ref="C38" authorId="0" shapeId="0" xr:uid="{00000000-0006-0000-0400-00000F000000}">
      <text>
        <r>
          <rPr>
            <sz val="11"/>
            <color theme="1"/>
            <rFont val="Calibri"/>
            <family val="2"/>
            <charset val="1"/>
          </rPr>
          <t>Logistik pengiriman: bagging unit, armada darat, konveyor pelabuhan.</t>
        </r>
      </text>
    </comment>
    <comment ref="C39" authorId="0" shapeId="0" xr:uid="{00000000-0006-0000-0400-000010000000}">
      <text>
        <r>
          <rPr>
            <sz val="11"/>
            <color theme="1"/>
            <rFont val="Calibri"/>
            <family val="2"/>
            <charset val="1"/>
          </rPr>
          <t>Sertifikasi operator, SOP pengoperasian, pelatihan simulasi darurat.</t>
        </r>
      </text>
    </comment>
    <comment ref="C40" authorId="0" shapeId="0" xr:uid="{00000000-0006-0000-0400-000011000000}">
      <text>
        <r>
          <rPr>
            <sz val="11"/>
            <color theme="1"/>
            <rFont val="Calibri"/>
            <family val="2"/>
            <charset val="1"/>
          </rPr>
          <t>Kesiapan laboratorium mutu &amp; sertifikasi SNI untuk industri premium.</t>
        </r>
      </text>
    </comment>
  </commentList>
</comments>
</file>

<file path=xl/sharedStrings.xml><?xml version="1.0" encoding="utf-8"?>
<sst xmlns="http://schemas.openxmlformats.org/spreadsheetml/2006/main" count="860" uniqueCount="685">
  <si>
    <t>INPUT DATA BULANAN — DIISI OLEH PIC / PROJECT CONTROL SETIAP PERIODE PELAPORAN</t>
  </si>
  <si>
    <t>Sel KUNING (font biru) = input manual. Sel ABU-ABU = formula otomatis, jangan diubah manual. Arahkan kursor ke label bertanda (i) untuk penjelasan parameter.</t>
  </si>
  <si>
    <t>Nama Perusahaan</t>
  </si>
  <si>
    <t>Nama Proyek</t>
  </si>
  <si>
    <t>Periode Pelaporan (Bulan/Tahun)</t>
  </si>
  <si>
    <t>Status Dokumen</t>
  </si>
  <si>
    <t>Final</t>
  </si>
  <si>
    <t>1. EARNED VALUE MANAGEMENT (EVM) — FINANCIAL &amp; SCHEDULE HEALTH (satuan: USD Juta, kumulatif)</t>
  </si>
  <si>
    <t>Planned Value (PV) — kumulatif s.d. periode ini</t>
  </si>
  <si>
    <t>Earned Value (EV) — kumulatif s.d. periode ini</t>
  </si>
  <si>
    <t>Actual Cost (AC) — kumulatif s.d. periode ini</t>
  </si>
  <si>
    <t>Net Present Value (NPV) — USD Juta</t>
  </si>
  <si>
    <t>Cost Performance Index (CPI = EV/AC)</t>
  </si>
  <si>
    <t>Cost Variance (CV = EV-AC), USD Juta</t>
  </si>
  <si>
    <t>Schedule Performance Index (SPI = EV/PV)</t>
  </si>
  <si>
    <t>Schedule Variance (SV = EV-PV), USD Juta</t>
  </si>
  <si>
    <t>2. SUPPLY READINESS INDEX</t>
  </si>
  <si>
    <t>Skor Aktual</t>
  </si>
  <si>
    <t>Bobot</t>
  </si>
  <si>
    <t>Tertimbang</t>
  </si>
  <si>
    <t>Fasilitas penanganan material (conveyor dan stockpile) serta integrasi dermaga harus terkalibrasi dan siap menerima suplai garam sebelum commissioning.</t>
  </si>
  <si>
    <t>SRI — Supply Readiness Index (tertimbang)</t>
  </si>
  <si>
    <t>3. PROJECT EXECUTION INDEX</t>
  </si>
  <si>
    <t>Plant harus didemonstrasikan mampu beroperasi stabil pada beban maksimal (misal: 72 jam berturut-turut) untuk tahap serah terima (handover).</t>
  </si>
  <si>
    <t>PEI — Project Execution Index (tertimbang)</t>
  </si>
  <si>
    <t>Deviasi Kemajuan Fisik vs Target (S-Curve)</t>
  </si>
  <si>
    <t>4. COMMERCIAL READINESS INDEX</t>
  </si>
  <si>
    <t>Seluruh dokumen Izin Usaha Industri (IUI) dan sertifikasi layak operasi (SLO) harus diterbitkan sebelum dimulainya produksi komersial untuk menghindari sanksi penutupan.</t>
  </si>
  <si>
    <t>CRI — Commercial Readiness Index (tertimbang)</t>
  </si>
  <si>
    <t>5. OVERALL RISK INDEX — sub-indeks risiko (skor 0-100)</t>
  </si>
  <si>
    <t>Supply Risk Indeks</t>
  </si>
  <si>
    <t>Execution Risk Indeks</t>
  </si>
  <si>
    <t>Commercial Risk Indeks</t>
  </si>
  <si>
    <t>Overall Risk Index (tertimbang, skala 0-100)</t>
  </si>
  <si>
    <t>Overall Risk Level (5 Tingkat, formula)</t>
  </si>
  <si>
    <t>6. REGISTER RISIKO AKTIF — Jumlah Risiko per 5 Tingkat</t>
  </si>
  <si>
    <t>High</t>
  </si>
  <si>
    <t>Moderate to High</t>
  </si>
  <si>
    <t>Moderate</t>
  </si>
  <si>
    <t>Low to Moderate</t>
  </si>
  <si>
    <t>Low</t>
  </si>
  <si>
    <t>Total Risiko Aktif</t>
  </si>
  <si>
    <t>7. STATUS MITIGASI &amp; DINAMIKA PERGERAKAN RISIKO (BULAN BERJALAN)</t>
  </si>
  <si>
    <t>Completed Mitigations (%)</t>
  </si>
  <si>
    <t>Risiko Baru (New Risk)</t>
  </si>
  <si>
    <t>Overdue Actions (%)</t>
  </si>
  <si>
    <t>Risiko Eskalasi (Escalated Risk)</t>
  </si>
  <si>
    <t>On Track Mitigations (%)</t>
  </si>
  <si>
    <t>Risiko Menurun (Reduced Risk)</t>
  </si>
  <si>
    <t>Need Escalation (jumlah aksi)</t>
  </si>
  <si>
    <t>Risiko Ditutup (Closed Risk)</t>
  </si>
  <si>
    <t>8. EARLY WARNING SYSTEM (EWS) — NILAI AKTUAL PEMANTAUAN</t>
  </si>
  <si>
    <t>Parameter EWS</t>
  </si>
  <si>
    <t>Deskripsi Target</t>
  </si>
  <si>
    <t>Nilai Aktual</t>
  </si>
  <si>
    <t>Nilai Threshold (Numerik)</t>
  </si>
  <si>
    <t>Buffer Waspada (Angka)</t>
  </si>
  <si>
    <t>Status EWS (3 Level)</t>
  </si>
  <si>
    <t>First Shipment</t>
  </si>
  <si>
    <t>Target: 1 Nov 27 (Lower is better)</t>
  </si>
  <si>
    <t>Project Progress</t>
  </si>
  <si>
    <t>Minimal 90% (Higher is better)</t>
  </si>
  <si>
    <t>Offtaker Agreement</t>
  </si>
  <si>
    <t>Target SPI &gt;= 1.00 (Higher is better)</t>
  </si>
  <si>
    <t>9. TOP RISK REGISTER — INPUT LIKELIHOOD (L) &amp; CONSEQUENCE (C) UNTUK HEAT MAP</t>
  </si>
  <si>
    <t>Skala Risiko &amp; Risk Level dihitung otomatis dari Tabel Skala Risiko Non-Linear 5x5 pada sheet Referensi_Threshold bagian 10 (bukan lagi perkalian L x C sederhana). Posisi pada Risk Profile Heat Map di sheet Dashboard mengikuti nilai L &amp; C ini secara otomatis.</t>
  </si>
  <si>
    <t>Kode</t>
  </si>
  <si>
    <t>Deskripsi Risiko Utama</t>
  </si>
  <si>
    <t>Kategori</t>
  </si>
  <si>
    <t>L (1-5)</t>
  </si>
  <si>
    <t>C (1-5)</t>
  </si>
  <si>
    <t>Score</t>
  </si>
  <si>
    <t>Risk Level</t>
  </si>
  <si>
    <t>C1</t>
  </si>
  <si>
    <t>Salt Supply Disruption (gangguan pasokan garam industri)</t>
  </si>
  <si>
    <t>Hulu / Supply</t>
  </si>
  <si>
    <t>C2</t>
  </si>
  <si>
    <t>Commissioning Delay (keterlambatan commissioning)</t>
  </si>
  <si>
    <t>Eksekusi</t>
  </si>
  <si>
    <t>C3</t>
  </si>
  <si>
    <t>EPC Interface Issue (isu EPC interface lintas kontraktor)</t>
  </si>
  <si>
    <t>C4</t>
  </si>
  <si>
    <t>Long Lead Equipment (keterlambatan peralatan utama)</t>
  </si>
  <si>
    <t>Pengadaan</t>
  </si>
  <si>
    <t>PANDUAN PENGGUNAAN — PROJECT RISK &amp; HEALTH DASHBOARD v3</t>
  </si>
  <si>
    <t>Versi 3.0 | Dibuat untuk memudahkan pelaporan risiko dan kesehatan proyek secara berkala.</t>
  </si>
  <si>
    <t>1. PENDAHULUAN</t>
  </si>
  <si>
    <t>Dashboard ini dirancang untuk memantau kesehatan proyek melalui 5 pilar utama:</t>
  </si>
  <si>
    <t>a. Financial Health (CPI) — efisiensi biaya</t>
  </si>
  <si>
    <t>b. Schedule Health (SPI) — efisiensi jadwal</t>
  </si>
  <si>
    <t>c. Supply Readiness Index (SRI) — kesiapan pasokan bahan baku</t>
  </si>
  <si>
    <t>d. Project Execution Index (PEI) — pelaksanaan proyek fisik</t>
  </si>
  <si>
    <t>e. Commercial Readiness Index (CRI) — kesiapan komersial</t>
  </si>
  <si>
    <t>2. STRUKTUR FILE EXCEL</t>
  </si>
  <si>
    <t>Sheet</t>
  </si>
  <si>
    <t>Fungsi</t>
  </si>
  <si>
    <t>Siapa Mengisi</t>
  </si>
  <si>
    <t>Config</t>
  </si>
  <si>
    <t>Pengaturan global: nama proyek, bobot pilar, warna</t>
  </si>
  <si>
    <t>PM / PMO (sekali)</t>
  </si>
  <si>
    <t>Panduan</t>
  </si>
  <si>
    <t>Manual penggunaan (sheet ini)</t>
  </si>
  <si>
    <t>Hanya dibaca</t>
  </si>
  <si>
    <t>Referensi_Threshold</t>
  </si>
  <si>
    <t>Referensi formula, threshold, skala risiko</t>
  </si>
  <si>
    <t>Risk Manager (sekali)</t>
  </si>
  <si>
    <t>Input_Bulanan</t>
  </si>
  <si>
    <t>Input data utama setiap bulan</t>
  </si>
  <si>
    <t>Project Control (bulanan)</t>
  </si>
  <si>
    <t>Risk_Action_Tracker</t>
  </si>
  <si>
    <t>Tracker aksi mitigasi &amp; keputusan Direksi</t>
  </si>
  <si>
    <t>Dashboard</t>
  </si>
  <si>
    <t>Ringkasan visual otomatis</t>
  </si>
  <si>
    <t>Otomatis</t>
  </si>
  <si>
    <t>3. PANDUAN WARNA SEL</t>
  </si>
  <si>
    <t>KUNING (font biru)</t>
  </si>
  <si>
    <t>Isi data Anda di sini</t>
  </si>
  <si>
    <t>ABU-ABU</t>
  </si>
  <si>
    <t>Jangan diubah manual</t>
  </si>
  <si>
    <t>4. MENAMBAH BARIS BARU — PANDUAN PER JENIS DATA</t>
  </si>
  <si>
    <t>PENTING: Setiap jenis data memerlukan tindakan di sheet yang berbeda. Baca panduan per jenis di bawah ini.</t>
  </si>
  <si>
    <t>4A. MENAMBAH PARAMETER EWS BARU</t>
  </si>
  <si>
    <t>Input_Bulanan ✏️</t>
  </si>
  <si>
    <t>HARUS DIUBAH</t>
  </si>
  <si>
    <t>→ Buka seksi 8 (EWS) — cari baris terakhir data (saat ini baris 67–69).</t>
  </si>
  <si>
    <t>→ Klik kanan di nomor baris terakhir → pilih 'Insert' → 'Entire Row'.</t>
  </si>
  <si>
    <t>→ Isi kolom kuning: C=Nama Parameter, D=Deskripsi Target, E=Nilai Aktual,
   F=Nilai Threshold (Numerik), G=Buffer Waspada (Angka).</t>
  </si>
  <si>
    <t>→ Salin formula kolom H (Status EWS) dari baris di atasnya ke baris baru.</t>
  </si>
  <si>
    <t>→ Catatan: untuk indikator tanggal, gunakan formula IF(E&lt;=F+G) ;
   untuk indikator %, gunakan IF(E&gt;=F-G).</t>
  </si>
  <si>
    <t>Referensi_Threshold ✅</t>
  </si>
  <si>
    <t>TIDAK PERLU DIUBAH</t>
  </si>
  <si>
    <t>→ Sheet ini hanya berisi metodologi &amp; panduan warna — tidak ada referensi langsung ke baris EWS.</t>
  </si>
  <si>
    <t>Risk_Action_Tracker ✅</t>
  </si>
  <si>
    <t>→ Tidak ada hubungan langsung ke data EWS.</t>
  </si>
  <si>
    <t>HTML Dashboard ✅</t>
  </si>
  <si>
    <t>OTOMATIS</t>
  </si>
  <si>
    <t>→ Importer HTML membaca seluruh baris EWS secara dinamis. Import ulang Excel setelah menambah baris.</t>
  </si>
  <si>
    <t>4B. MENAMBAH TOP RISK BARU</t>
  </si>
  <si>
    <t>HARUS DIUBAH (PRIORITAS 1)</t>
  </si>
  <si>
    <t>→ Buka seksi 9 (TOP RISK REGISTER) — cari baris terakhir data (saat ini baris 75–78).</t>
  </si>
  <si>
    <t>→ Isi kolom kuning: C=Kode (C5, C6, dst.), D=Deskripsi Risiko, E=Kategori, F=L (1-5), G=C (1-5).</t>
  </si>
  <si>
    <t>→ WAJIB: Salin formula kolom H (Score/Skala) dan I (Risk Level) dari baris di atasnya.
   Formula ini pakai =INDEX(Referensi_Threshold!...) — jangan ditulis manual.</t>
  </si>
  <si>
    <t>Risk_Action_Tracker ✏️</t>
  </si>
  <si>
    <t>HARUS DIUBAH (LANGKAH 2)</t>
  </si>
  <si>
    <t>→ Buka seksi 'TOP RISK REGISTER' di Risk_Action_Tracker (saat ini baris 24–27).</t>
  </si>
  <si>
    <t>→ Klik kanan di baris terakhir → 'Insert' → 'Entire Row'.</t>
  </si>
  <si>
    <t>→ Salin formula =Input_Bulanan!C75, !D75, !E75, !F75, !G75 dari baris di atasnya,
   lalu sesuaikan nomor baris sumber (misal ganti 75 → 79 untuk baris baru).</t>
  </si>
  <si>
    <t>→ Tabel skala risiko 5x5 sudah lengkap — formula di Input_Bulanan akan otomatis lookup.</t>
  </si>
  <si>
    <t>→ Importer HTML membaca seluruh baris Top Risk secara dinamis.</t>
  </si>
  <si>
    <t>4C. MENAMBAH EXECUTIVE ACTION BARU</t>
  </si>
  <si>
    <t>HARUS DIUBAH (SATU-SATUNYA)</t>
  </si>
  <si>
    <t>→ Buka tabel utama (baris 6–10) — satu baris = satu aksi eksekutif.</t>
  </si>
  <si>
    <t>→ Klik kanan di baris terakhir data → 'Insert' → 'Entire Row'.</t>
  </si>
  <si>
    <t>→ Isi kolom: B=No urut, C=Isu Strategis, D=Kategori &amp; Level Risiko,
   E=Keputusan &amp; Rencana Tindakan, F=PIC, G=Perkiraan Dampak.</t>
  </si>
  <si>
    <t>→ KUNCI: Isi kolom H (Prioritas Dashboard) dengan angka 1, 2, 3…
   Angka 1 = paling prioritas. Kosongkan atau isi 0 = tidak tampil di slide utama.</t>
  </si>
  <si>
    <t>Input_Bulanan ✅</t>
  </si>
  <si>
    <t>→ Input_Bulanan tidak punya hubungan langsung ke tabel Executive Actions.</t>
  </si>
  <si>
    <t>→ Tidak ada referensi ke tabel Executive Actions.</t>
  </si>
  <si>
    <t>→ Importer membaca semua baris dari Risk_Action_Tracker dan menampilkan berdasarkan urutan Prioritas Dashboard.</t>
  </si>
  <si>
    <t>4D. MENAMBAH PARAMETER SUB-INDEX (SRI / PEI / CRI)</t>
  </si>
  <si>
    <t>Referensi_Threshold ✏️</t>
  </si>
  <si>
    <t>HARUS DIUBAH (LANGKAH 1)</t>
  </si>
  <si>
    <t>→ Buka seksi 2 (SRI), 3 (PEI), atau 4 (CRI).</t>
  </si>
  <si>
    <t>→ Klik kanan pada baris parameter terakhir sebelum TOTAL → 'Insert' → 'Entire Row'.</t>
  </si>
  <si>
    <t>→ Isi kolom A (Nama Parameter), B (Bobot), C (Deskripsi).</t>
  </si>
  <si>
    <t>→ PERINGATAN: Pastikan baris TOTAL BOBOT bernilai 1.00! Jika tidak 1.00, sel akan berubah menjadi MERAH.</t>
  </si>
  <si>
    <t>→ Buka seksi 2 (SRI), 3 (PEI), atau 4 (CRI) sesuai dengan yang diubah.</t>
  </si>
  <si>
    <t>→ Klik kanan pada baris sebelum TOTAL → 'Insert' → 'Entire Row'.</t>
  </si>
  <si>
    <t>→ Isi kolom C dengan Nama Parameter persis seperti di Referensi_Threshold.</t>
  </si>
  <si>
    <t>→ Isi kolom D dengan Nilai Aktual (%) di area kuning.</t>
  </si>
  <si>
    <t>→ Tautkan kolom E (Bobot) ke sheet Referensi_Threshold (contoh: =Referensi_Threshold!B24).</t>
  </si>
  <si>
    <t>→ Salin formula kolom F (Nilai Tertimbang) dari baris di atasnya.</t>
  </si>
  <si>
    <t>→ PERINGATAN: Pastikan kolom E baris TOTAL bernilai 1.00 (akan MERAH jika salah).</t>
  </si>
  <si>
    <t>5. MENGUBAH BOBOT PILAR &amp; SUB-INDEKS</t>
  </si>
  <si>
    <t xml:space="preserve">  a. Bobot 5 Pilar PHS (Financial, Schedule, SRI, PEI, CRI) → ubah di sheet Config, Seksi B.</t>
  </si>
  <si>
    <t xml:space="preserve">  b. Bobot Komponen Risk Index (Supply, Execution, Commercial) → ubah di sheet Config, Seksi C.</t>
  </si>
  <si>
    <t xml:space="preserve">  c. Bobot parameter SRI, PEI, CRI → ikuti panduan 4D di atas.</t>
  </si>
  <si>
    <t xml:space="preserve">  d. PASTIKAN total bobot setiap kelompok = 1.00 — sel total akan berwarna MERAH jika salah.</t>
  </si>
  <si>
    <t xml:space="preserve">  e. Setelah simpan, import ulang Excel ke HTML — bobot baru otomatis diterapkan.</t>
  </si>
  <si>
    <t>6. MENGUBAH THRESHOLD, KRITERIA RISIKO &amp; BUFFER EWS</t>
  </si>
  <si>
    <t xml:space="preserve">  a. Batas RAG (Hijau/Kuning/Oranye) per pilar → Config, Seksi F.</t>
  </si>
  <si>
    <t xml:space="preserve">  b. Buffer Waspada EWS per parameter → Config, Seksi G.</t>
  </si>
  <si>
    <t xml:space="preserve">  c. Kriteria Likelihood &amp; Consequence → Config, Seksi H &amp; I.</t>
  </si>
  <si>
    <t xml:space="preserve">  d. Batas Skala Risiko per level → Config, Seksi J.</t>
  </si>
  <si>
    <t>7. MENGATUR PRIORITAS EXECUTIVE ACTIONS DI DASHBOARD</t>
  </si>
  <si>
    <t xml:space="preserve">  a. Buka sheet Risk_Action_Tracker.</t>
  </si>
  <si>
    <t xml:space="preserve">  b. Kolom H = Prioritas Dashboard. Isi angka 1 (tertinggi), 2, 3, dst.</t>
  </si>
  <si>
    <t xml:space="preserve">  c. Kosongkan atau isi 0 untuk menyembunyikan aksi.</t>
  </si>
  <si>
    <t>8. IMPORT KE HTML DASHBOARD</t>
  </si>
  <si>
    <t xml:space="preserve">  a. Buka file index.html di browser. Klik tombol 'Muat Data Excel'.</t>
  </si>
  <si>
    <t xml:space="preserve">  b. Dashboard akan otomatis memperbarui semua panel.</t>
  </si>
  <si>
    <t xml:space="preserve">  c. Gunakan tombol PNG/JPG/PDF untuk mengekspor slide presentasi.</t>
  </si>
  <si>
    <t>KONFIGURASI GLOBAL — PROJECT RISK &amp; HEALTH DASHBOARD</t>
  </si>
  <si>
    <t>Sheet ini adalah pusat pengaturan. Ubah nilai di kolom B untuk menyesuaikan seluruh dashboard (Excel &amp; HTML).</t>
  </si>
  <si>
    <t>A. IDENTITAS PROYEK</t>
  </si>
  <si>
    <t>Parameter</t>
  </si>
  <si>
    <t>Nilai</t>
  </si>
  <si>
    <t>Keterangan</t>
  </si>
  <si>
    <t>Nama lengkap perusahaan pemilik proyek</t>
  </si>
  <si>
    <t>Nama proyek yang dilaporkan</t>
  </si>
  <si>
    <t>Kapasitas Produksi</t>
  </si>
  <si>
    <t>300.000 MTPY</t>
  </si>
  <si>
    <t>Kapasitas desain pabrik</t>
  </si>
  <si>
    <t>B. BOBOT 5 PILAR PROJECT HEALTH SCORE (PHS)</t>
  </si>
  <si>
    <t>Pilar Kesehatan</t>
  </si>
  <si>
    <t>Justifikasi Bobot</t>
  </si>
  <si>
    <t>Financial Health</t>
  </si>
  <si>
    <t>Berdasarkan CPI</t>
  </si>
  <si>
    <t>Mencerminkan standar AACE International; Cost Performance (CPI) adalah tolok ukur utama finansial.</t>
  </si>
  <si>
    <t>Schedule Health</t>
  </si>
  <si>
    <t>Berdasarkan SPI</t>
  </si>
  <si>
    <t>Berdasarkan PMI PMBOK; Schedule Performance (SPI) memiliki bobot seimbang dengan biaya.</t>
  </si>
  <si>
    <t>Supply Readiness (SRI)</t>
  </si>
  <si>
    <t>Indeks kesiapan pasokan bahan baku</t>
  </si>
  <si>
    <t>Praktik industri kimia (Soda Ash): jaminan bahan baku (garam) sangat krusial sebelum operasional.</t>
  </si>
  <si>
    <t>Project Execution (PEI)</t>
  </si>
  <si>
    <t>Indeks pelaksanaan proyek fisik</t>
  </si>
  <si>
    <t>Penilaian kemajuan fisik (EPC) standar sesuai baseline S-Curve konstruksi.</t>
  </si>
  <si>
    <t>Commercial Readiness (CRI)</t>
  </si>
  <si>
    <t>Indeks kesiapan komersial</t>
  </si>
  <si>
    <t>Kesiapan offtaker dan komersial diberi porsi seimbang untuk memastikan penyerapan produk.</t>
  </si>
  <si>
    <t>TOTAL BOBOT</t>
  </si>
  <si>
    <t>Harus = 1.00</t>
  </si>
  <si>
    <t>C. BOBOT OVERALL RISK INDEX</t>
  </si>
  <si>
    <t>Komponen Risiko</t>
  </si>
  <si>
    <t>Supply Risk Index</t>
  </si>
  <si>
    <t>Bahan baku, logistik</t>
  </si>
  <si>
    <t>Bahan baku (garam) merupakan penggerak utama produksi Soda Ash, risiko suplai berdampak tertinggi.</t>
  </si>
  <si>
    <t>Execution Risk Index</t>
  </si>
  <si>
    <t>Engineering, procurement, construction</t>
  </si>
  <si>
    <t>Risiko keterlambatan EPC sangat kritikal terhadap NPV proyek (Capital Intensive).</t>
  </si>
  <si>
    <t>Commercial Risk Index</t>
  </si>
  <si>
    <t>Offtake, marketing, distribusi</t>
  </si>
  <si>
    <t>Risiko komersial penting, namun dapat disesuaikan seiring ramp-up produksi.</t>
  </si>
  <si>
    <t>D. PENGATURAN TAMPILAN DASHBOARD</t>
  </si>
  <si>
    <t>Jumlah Tampilan Executive Actions</t>
  </si>
  <si>
    <t>Batas maksimal action yang ditampilkan di dashboard sesuai urutan prioritas.</t>
  </si>
  <si>
    <t>[USANG] EWS Buffer (Pindah ke Input_Bulanan)</t>
  </si>
  <si>
    <t>-</t>
  </si>
  <si>
    <t>Pengaturan buffer EWS sekarang dilakukan per-item di sheet Input_Bulanan (Kolom G)</t>
  </si>
  <si>
    <t>E. KUSTOMISASI WARNA (HEX CODE)</t>
  </si>
  <si>
    <t>Elemen</t>
  </si>
  <si>
    <t>Hex Code</t>
  </si>
  <si>
    <t>Preview</t>
  </si>
  <si>
    <t>Warna Hijau (Aman)</t>
  </si>
  <si>
    <t>#2E9B57</t>
  </si>
  <si>
    <t>Warna Kuning (Pantau)</t>
  </si>
  <si>
    <t>#E8B93A</t>
  </si>
  <si>
    <t>Warna Oranye (Waspada)</t>
  </si>
  <si>
    <t>#E4622E</t>
  </si>
  <si>
    <t>Warna Merah (Kritis)</t>
  </si>
  <si>
    <t>#C0392B</t>
  </si>
  <si>
    <t>Warna Navy (Aksen)</t>
  </si>
  <si>
    <t>#0B1F3A</t>
  </si>
  <si>
    <t>F. BATAS TOLERANSI RAG (RED-AMBER-GREEN) — DAPAT DISESUAIKAN</t>
  </si>
  <si>
    <t>Angka di bawah adalah batas HIJAU (Aman). Sistem otomatis hitung Kuning = 95%, Oranye = 90% dari batas Hijau.</t>
  </si>
  <si>
    <t>Nilai Batas HIJAU (Aman)</t>
  </si>
  <si>
    <t>CPI Batas Hijau</t>
  </si>
  <si>
    <t>CPI &gt;= nilai ini → Hijau / Aman</t>
  </si>
  <si>
    <t>CPI Batas Kuning</t>
  </si>
  <si>
    <t>CPI &gt;= nilai ini → Kuning (auto: =CPI Hijau × 0,95)</t>
  </si>
  <si>
    <t>CPI Batas Oranye</t>
  </si>
  <si>
    <t>CPI &gt;= nilai ini → Oranye (auto: =CPI Hijau × 0,90)</t>
  </si>
  <si>
    <t>SPI Batas Hijau</t>
  </si>
  <si>
    <t>SPI &gt;= nilai ini → Hijau / Aman</t>
  </si>
  <si>
    <t>SPI Batas Kuning</t>
  </si>
  <si>
    <t>SPI &gt;= nilai ini → Kuning (auto: =SPI Hijau × 0,95)</t>
  </si>
  <si>
    <t>SPI Batas Oranye</t>
  </si>
  <si>
    <t>SPI &gt;= nilai ini → Oranye (auto: =SPI Hijau × 0,90)</t>
  </si>
  <si>
    <t>SRI Batas Hijau (%)</t>
  </si>
  <si>
    <t>SRI &gt;= nilai ini → Hijau / Aman</t>
  </si>
  <si>
    <t>SRI Batas Kuning (%)</t>
  </si>
  <si>
    <t>SRI &gt;= nilai ini → Kuning / Perhatian</t>
  </si>
  <si>
    <t>SRI Batas Oranye (%)</t>
  </si>
  <si>
    <t>SRI &gt;= nilai ini → Oranye / Waspada</t>
  </si>
  <si>
    <t>PEI Batas Hijau (%)</t>
  </si>
  <si>
    <t>Progres fisik &gt;= nilai ini → Hijau</t>
  </si>
  <si>
    <t>PEI Batas Kuning (%)</t>
  </si>
  <si>
    <t>Progres fisik &gt;= nilai ini → Kuning</t>
  </si>
  <si>
    <t>PEI Batas Oranye (%)</t>
  </si>
  <si>
    <t>Progres fisik &gt;= nilai ini → Oranye</t>
  </si>
  <si>
    <t>CRI Batas Hijau (%)</t>
  </si>
  <si>
    <t>CRI &gt;= nilai ini → Hijau / Aman</t>
  </si>
  <si>
    <t>CRI Batas Kuning (%)</t>
  </si>
  <si>
    <t>CRI &gt;= nilai ini → Kuning / Perhatian</t>
  </si>
  <si>
    <t>CRI Batas Oranye (%)</t>
  </si>
  <si>
    <t>CRI &gt;= nilai ini → Oranye / Waspada</t>
  </si>
  <si>
    <t>PHS Batas Hijau (%)</t>
  </si>
  <si>
    <t>PHS &gt;= nilai ini → Aman / Sehat</t>
  </si>
  <si>
    <t>PHS Batas Kuning (%)</t>
  </si>
  <si>
    <t>PHS &gt;= nilai ini → Perhatian</t>
  </si>
  <si>
    <t>PHS Batas Oranye (%)</t>
  </si>
  <si>
    <t>PHS &gt;= nilai ini → Waspada</t>
  </si>
  <si>
    <t>G. [USANG] BUFFER WASPADA EWS - TIDAK DIGUNAKAN LAGI</t>
  </si>
  <si>
    <t>Seluruh pengaturan EWS kini dinamis dan dilakukan langsung di sheet Input_Bulanan.</t>
  </si>
  <si>
    <t>H. KRITERIA LIKELIHOOD (PROBABILITAS) — DAPAT DISESUAIKAN</t>
  </si>
  <si>
    <t>Ubah nama kategori dan batas probabilitas. Referensi_Threshold akan otomatis mengikuti.</t>
  </si>
  <si>
    <t>Level (L)</t>
  </si>
  <si>
    <t>Nama Kategori</t>
  </si>
  <si>
    <t>Batas Probabilitas (%)</t>
  </si>
  <si>
    <t>Keterangan Singkat</t>
  </si>
  <si>
    <t>Sangat Jarang Terjadi</t>
  </si>
  <si>
    <t>&lt; 10%</t>
  </si>
  <si>
    <t>Hampir tidak pernah terjadi selama siklus proyek</t>
  </si>
  <si>
    <t>Jarang Terjadi</t>
  </si>
  <si>
    <t>10 – 30%</t>
  </si>
  <si>
    <t>Pernah terjadi, namun jarang</t>
  </si>
  <si>
    <t>Bisa Terjadi</t>
  </si>
  <si>
    <t>30 – 50%</t>
  </si>
  <si>
    <t>Pernah terjadi beberapa kali</t>
  </si>
  <si>
    <t>Sangat Mungkin Terjadi</t>
  </si>
  <si>
    <t>50 – 70%</t>
  </si>
  <si>
    <t>Kondisi &amp; indikasi sudah muncul</t>
  </si>
  <si>
    <t>Hampir Pasti Terjadi</t>
  </si>
  <si>
    <t>&gt; 70%</t>
  </si>
  <si>
    <t>Sudah terdapat indikasi kuat akan terjadi</t>
  </si>
  <si>
    <t>I. KRITERIA CONSEQUENCE (DAMPAK) — DAPAT DISESUAIKAN</t>
  </si>
  <si>
    <t>Ubah nama kategori dan kriteria dampak sesuai kebutuhan proyek. Referensi_Threshold otomatis mengikuti.</t>
  </si>
  <si>
    <t>Level (C)</t>
  </si>
  <si>
    <t>Kriteria Deskriptif 1</t>
  </si>
  <si>
    <t>Kriteria Deskriptif 2</t>
  </si>
  <si>
    <t>Sangat Rendah</t>
  </si>
  <si>
    <t>Dampak biaya dapat diabaikan (&lt; USD 0.5 Jt)</t>
  </si>
  <si>
    <t>Tidak ada keterlambatan signifikan (maks 1 bln)</t>
  </si>
  <si>
    <t>Rendah</t>
  </si>
  <si>
    <t>Dampak biaya minor (USD 0.5 - 2 Jt)</t>
  </si>
  <si>
    <t>Keterlambatan minor (hingga 3 bln)</t>
  </si>
  <si>
    <t>Moderat</t>
  </si>
  <si>
    <t>Dampak biaya moderat (USD 2 - 10 Jt)</t>
  </si>
  <si>
    <t>Keterlambatan berdampak pada jadwal utama (hingga 6 bln)</t>
  </si>
  <si>
    <t>Tinggi</t>
  </si>
  <si>
    <t>Dampak biaya signifikan (USD 10 - 30 Jt)</t>
  </si>
  <si>
    <t>Keterlambatan penyelesaian proyek (hingga 12 bln)</t>
  </si>
  <si>
    <t>Sangat Tinggi</t>
  </si>
  <si>
    <t>Dampak biaya krisis (&gt; USD 30 Jt)</t>
  </si>
  <si>
    <t>Proyek terancam batal / sangat terlambat (&gt; 24 bln)</t>
  </si>
  <si>
    <t>J. BATAS SKALA RISIKO (RISK RANKING) — DAPAT DISESUAIKAN</t>
  </si>
  <si>
    <t>Tentukan batas skala (skor L×C) untuk setiap level risiko. Risk Index (0-100) dihitung terpisah.</t>
  </si>
  <si>
    <t>Level Risiko</t>
  </si>
  <si>
    <t>Batas Bawah Skala</t>
  </si>
  <si>
    <t>Batas Atas Skala</t>
  </si>
  <si>
    <t>Overall Risk Index Range</t>
  </si>
  <si>
    <t>0 – 20</t>
  </si>
  <si>
    <t>21 – 40</t>
  </si>
  <si>
    <t>41 – 60</t>
  </si>
  <si>
    <t>61 – 80</t>
  </si>
  <si>
    <t>81 – 100</t>
  </si>
  <si>
    <t>REFERENSI FORMULA &amp; AMBANG BATAS (THRESHOLD) — PROJECT RISK &amp; HEALTH DASHBOARD</t>
  </si>
  <si>
    <t>Nama Proyek: [lihat Config!B7] | Nama Perusahaan: [lihat Config!B6]</t>
  </si>
  <si>
    <t>1. LIMA PILAR KESEHATAN PROYEK (PROJECT HEALTH) &amp; FORMULA</t>
  </si>
  <si>
    <t>Pilar</t>
  </si>
  <si>
    <t>Indikator Utama</t>
  </si>
  <si>
    <t>Formula</t>
  </si>
  <si>
    <t>Bobot dalam PHS</t>
  </si>
  <si>
    <t>Sumber / Referensi</t>
  </si>
  <si>
    <t>Cost Performance Index (CPI)
Cost Variance (CV)</t>
  </si>
  <si>
    <t>CPI = EV / AC
CV = EV - AC</t>
  </si>
  <si>
    <t>Earned Value Management (EVM) - PMI Standard; ScheduleReader.com, 'Managing Project Health with SPI &amp; CPI'</t>
  </si>
  <si>
    <t>Schedule Performance Index (SPI)
Schedule Variance (SV)</t>
  </si>
  <si>
    <t>SPI = EV / PV
SV = EV - PV</t>
  </si>
  <si>
    <t>Earned Value Management (EVM) - PMI Standard; ScheduleReader.com</t>
  </si>
  <si>
    <t>Supply Readiness Index (SRI)</t>
  </si>
  <si>
    <t>5 parameter tertimbang pasokan (supply chain)</t>
  </si>
  <si>
    <t>SRI = S (Wi x Si)</t>
  </si>
  <si>
    <t>Pengelompokan Tahapan Pekerjaan Proyek (2025)</t>
  </si>
  <si>
    <t>Project Execution Index (PEI)</t>
  </si>
  <si>
    <t>4 parameter tertimbang pelaksanaan EPC</t>
  </si>
  <si>
    <t>PEI = S (Pj x Wj)</t>
  </si>
  <si>
    <t>praktik EPC Progress-S-Curve industri</t>
  </si>
  <si>
    <t>Commercial Readiness Index (CRI)</t>
  </si>
  <si>
    <t>5 parameter tertimbang kesiapan komersial</t>
  </si>
  <si>
    <t>CRI = S (Wk x Sk)</t>
  </si>
  <si>
    <t>Overall Project Health Score (PHS)</t>
  </si>
  <si>
    <t>Catatan: FinancialScore &amp; ScheduleScore dikonversi dari CPI/SPI. Jika indeks &gt;= 1,00, skor = 100 (maksimal). Jika &lt; 1,00, skor = indeks x 100.</t>
  </si>
  <si>
    <t>2. PARAMETER &amp; BOBOT SUPPLY READINESS INDEX (SRI)</t>
  </si>
  <si>
    <t>Deskripsi</t>
  </si>
  <si>
    <t>Salt Contract</t>
  </si>
  <si>
    <t>Kepastian kontrak pasokan bahan baku garam industri jangka panjang dengan PT Garam maupun pemasok luar negeri.</t>
  </si>
  <si>
    <t>Fondasi suplai; tanpa kontrak jangka panjang, kontinuitas pabrik terancam (High Priority).</t>
  </si>
  <si>
    <t>Salt Inventory</t>
  </si>
  <si>
    <t>Kesiapan &amp; kapasitas operasional gudang penyimpanan garam di pelabuhan dan lokasi pabrik.</t>
  </si>
  <si>
    <t>Buffer stok sangat krusial untuk mitigasi fluktuasi logistik laut/cuaca.</t>
  </si>
  <si>
    <t>Supplier Qualification</t>
  </si>
  <si>
    <t>Tingkat pemenuhan kualifikasi teknis dan standar kualitas garam dari para calon pemasok.</t>
  </si>
  <si>
    <t>Kualitas garam industri harus konsisten sesuai spesifikasi teknis peralatan.</t>
  </si>
  <si>
    <t>Shipping Readiness</t>
  </si>
  <si>
    <t>Kesiapan fasilitas pelabuhan, ketersediaan armada kapal logistik, dan jalur bongkar muat garam.</t>
  </si>
  <si>
    <t>Keterbatasan fasilitas pelabuhan atau kapal dapat memicu bottleneck rantai pasok.</t>
  </si>
  <si>
    <t>Utility Readiness</t>
  </si>
  <si>
    <t>Jaminan kesiapan tie-in pasokan gas bumi dari SKK Migas, air proses, uap panas, dan ketersediaan daya listrik.</t>
  </si>
  <si>
    <t>Pasokan utilitas (gas bumi/listrik) mutlak diperlukan sebelum Pre-Commissioning.</t>
  </si>
  <si>
    <t>Salt Readiness</t>
  </si>
  <si>
    <t>Kesiapan infrastruktur material handling (conveyor/stockpile) di site sangat kritikal untuk menjamin kontinuitas suplai bahan baku utama (garam) tanpa bottleneck.</t>
  </si>
  <si>
    <t>TOTAL BOBOT SRI</t>
  </si>
  <si>
    <t>Harus = 1.00 (Berwarna merah jika total bobot salah)</t>
  </si>
  <si>
    <t>3. PARAMETER &amp; BOBOT PROJECT EXECUTION INDEX (PEI)</t>
  </si>
  <si>
    <t>Engineering Progress</t>
  </si>
  <si>
    <t>Persentase penyelesaian gambar kerja detail (DED), dokumen spesifikasi teknis, dan persetujuan vendor drawings.</t>
  </si>
  <si>
    <t>Desain Engineering menentukan akurasi Procurement dan meminimalisir rework Konstruksi.</t>
  </si>
  <si>
    <t>Procurement Progress</t>
  </si>
  <si>
    <t>Kemajuan pengadaan barang, khususnya long lead items (menara karbonasi, kiln dekomposisi, reaktor utama).</t>
  </si>
  <si>
    <t>Long Lead Items (kompresor, reaktor) merupakan penentu jalur kritis jadwal (Critical Path).</t>
  </si>
  <si>
    <t>Construction Progress</t>
  </si>
  <si>
    <t>Kemajuan fisik konstruksi sipil, pondasi alat berat, struktur baja, instalasi mekanikal, kelistrikan, pemipaan.</t>
  </si>
  <si>
    <t>Pekerjaan sipil &amp; mekanikal memiliki porsi man-hours terbesar dalam siklus EPC.</t>
  </si>
  <si>
    <t>Commissioning Preparation</t>
  </si>
  <si>
    <t>Penyelesaian dokumen prosedur pengujian, tim start-up, Loop Test instrumen, dan suku cadang awal operasional.</t>
  </si>
  <si>
    <t>Dokumentasi prosedur (SOP) harus siap sebelum tahapan Mechanical Completion.</t>
  </si>
  <si>
    <t>Pencapaian Performance Test</t>
  </si>
  <si>
    <t>Validasi akhir bahwa pabrik mampu beroperasi sesuai kapasitas desain (Nameplate Capacity) merupakan syarat mutlak komersialisasi dan pencapaian target finansial.</t>
  </si>
  <si>
    <t>TOTAL BOBOT PEI</t>
  </si>
  <si>
    <t>4. PARAMETER &amp; BOBOT COMMERCIAL READINESS INDEX (CRI)</t>
  </si>
  <si>
    <t>Offtake Agreement</t>
  </si>
  <si>
    <t>Jumlah volume produk yang telah terikat dalam nota kesepahaman (MOU/Offtake Agreement) dengan pembeli domestik.</t>
  </si>
  <si>
    <t>Perjanjian jual beli (Offtake) memastikan kepastian arus kas saat fase operasi dimulai.</t>
  </si>
  <si>
    <t>Marketing Strategy</t>
  </si>
  <si>
    <t>Kesiapan strategi penetapan harga kompetitif terhadap produk impor dan diversifikasi varian produk.</t>
  </si>
  <si>
    <t>Strategi penetapan harga kompetitif untuk penetrasi pasar domestik vs impor.</t>
  </si>
  <si>
    <t>Distribution Readiness</t>
  </si>
  <si>
    <t>Kesiapan logistik pengiriman produk akhir: bagging unit, armada pengangkutan darat, konveyor pelabuhan.</t>
  </si>
  <si>
    <t>Kesiapan armada logistik, gudang produk jadi, dan skema distribusi ke pelanggan.</t>
  </si>
  <si>
    <t>Operation Team Ready</t>
  </si>
  <si>
    <t>Kesiapan tim operasi pabrik: sertifikasi operator, SOP pengoperasian, pelatihan simulasi kondisi darurat.</t>
  </si>
  <si>
    <t>Sertifikasi dan pelatihan operator (O&amp;M) untuk menjamin Plant Safety.</t>
  </si>
  <si>
    <t>Product Qualification</t>
  </si>
  <si>
    <t>Kesiapan laboratorium pengujian mutu produk &amp; sertifikasi SNI agar memenuhi kualifikasi industri premium.</t>
  </si>
  <si>
    <t>Lisensi operasi dan izin lingkungan (AMDAL) adalah prasyarat hukum mutlak (Go/No-Go).</t>
  </si>
  <si>
    <t>Regulatory Readiness</t>
  </si>
  <si>
    <t>Kepatuhan terhadap regulasi pemerintah sangat menentukan legalitas operasi; keterlambatan izin akan menghentikan seluruh proses produksi terlepas dari kesiapan teknis pabrik.</t>
  </si>
  <si>
    <t>TOTAL BOBOT CRI</t>
  </si>
  <si>
    <t>5. TABEL BATAS TOLERANSI (THRESHOLD) - SISTEM RAG (RED-AMBER-GREEN)</t>
  </si>
  <si>
    <t>Indikator</t>
  </si>
  <si>
    <t>Hijau</t>
  </si>
  <si>
    <t>Kuning</t>
  </si>
  <si>
    <t>Oranye</t>
  </si>
  <si>
    <t>Merah</t>
  </si>
  <si>
    <t>CPI</t>
  </si>
  <si>
    <t>SPI</t>
  </si>
  <si>
    <t>Supply Readiness</t>
  </si>
  <si>
    <t>SRI</t>
  </si>
  <si>
    <t>Project Execution</t>
  </si>
  <si>
    <t>PEI (Deviasi Fisik)</t>
  </si>
  <si>
    <t>Commercial Readiness</t>
  </si>
  <si>
    <t>CRI</t>
  </si>
  <si>
    <t>Overall Health</t>
  </si>
  <si>
    <t>PHS</t>
  </si>
  <si>
    <t>6. KRITERIA LIKELIHOOD (PROBABILITAS) - MATRIKS RISIKO 5x5</t>
  </si>
  <si>
    <t>Catatan: kriteria berikut merupakan kriteria standar manajemen risiko (ISO 31000 &amp; benchmark RCSA/KRI). Sesuaikan dengan resmi apabila tersedia angka baku internal.</t>
  </si>
  <si>
    <t>Kriteria Probabilitas Kejadian</t>
  </si>
  <si>
    <t>7. KRITERIA CONSEQUENCE (DAMPAK) - MATRIKS RISIKO 5x5</t>
  </si>
  <si>
    <t>Kriteria Dampak (Finansial / Jadwal / Reputasi)</t>
  </si>
  <si>
    <t>8. KLASIFIKASI LEVEL RISIKO - 5 TINGKAT</t>
  </si>
  <si>
    <t>Skor Matriks L x C TIDAK lagi dihitung dari perkalian langsung L x C dengan pembagian rentang rata, melainkan menggunakan Tabel Skala Risiko Non-Linear (Skala 1-25) pada bagian 10 di bawah, yang memprioritaskan bobot Consequence (Dampak) dibanding Likelihood (Probabilitas) untuk kombinasi bernilai sama — konsisten dengan pendekatan penentuan level risiko non-linear yang lazim digunakan pada matriks 5x5 ISO 31000:2018 / AS-NZS ISO 31000 dan praktik matriks risiko K3/SMKP BUMN sektor energi-tambang (rujukan pola: Kepdirjen Minerba No.1827.K/30/MEM/2018). Overall Risk Index (skala 0-100, benchmark ) tetap memakai rentang rata seperti semula.</t>
  </si>
  <si>
    <t>Skor Matriks L x C (1-25)</t>
  </si>
  <si>
    <t>Overall Risk Index (0-100)</t>
  </si>
  <si>
    <t>9. KOMPOSISI SUB-INDEKS OVERALL RISK INDEX</t>
  </si>
  <si>
    <t>Bahan baku garam industri, kualitas garam lokal vs impor, keandalan pemasok, risiko logistik maritim, kesiapan gudang, kesiapan utilitas.</t>
  </si>
  <si>
    <t>Kesiapan rekayasa desain, pengadaan peralatan utama, produktivitas tenaga kerja, antarmuka antar-EPC, pengapalan long lead items, kesiapan uji fungsi.</t>
  </si>
  <si>
    <t>Pengikatan kontrak offtake, fluktuasi harga global, tekanan produk impor, kesiapan logistik distribusi hilir, sertifikasi kualitas produk.</t>
  </si>
  <si>
    <t>Overall Risk Index = (Supply Risk Index × Bobot Supply) + (Execution Risk Index × Bobot Eksekusi) + (Commercial Risk Index × Bobot Komersial)</t>
  </si>
  <si>
    <t>Sumber benchmark tata kelola risiko: PT (Persero) - Direktorat Manajemen Risiko (2nd Line of Defense, Permen BUMN No.02/2023), Komite Tata Kelola Terintegrasi (KTKT), Gate Review/FID, RCSA, KRI, ICT, C-RBDD; PT Biro Klasifikasi Indonesia (Persero) - SK-6/2023 (Risk Appetite berbasis Net Working Capital); klasifikasi 5-tingkat Low/Low to Moderate/Moderate/Moderate to High/High mengikuti nomenklatur .</t>
  </si>
  <si>
    <t>10. TABEL SKALA RISIKO (RISK RANKING) 5x5 NON-LINEAR &amp; WARNA HEAT MAP</t>
  </si>
  <si>
    <t>Tabel skala risiko berikut menetapkan urutan (rank) 1-25 untuk setiap 25 kombinasi Likelihood (L) x Consequence (C) sesuai spesifikasi metodologi risiko internal yang ditetapkan Project Control . Berbeda dari perkalian L x C sederhana, urutan ini memberi bobot lebih besar pada Consequence saat terjadi nilai sama, mengikuti kaidah umum non-linear risk ranking pada standar ISO 31000:2018 dan praktik matriks risiko korporasi BUMN. Skala menentukan posisi &amp; warna sel pada Risk Profile Heat Map di sheet Dashboard.</t>
  </si>
  <si>
    <t>Key (L x10 + C)</t>
  </si>
  <si>
    <t>Skala (1-25)</t>
  </si>
  <si>
    <t>Kode Warna (Hex)</t>
  </si>
  <si>
    <t>#538135</t>
  </si>
  <si>
    <t>#A9D18E</t>
  </si>
  <si>
    <t>#FFD966</t>
  </si>
  <si>
    <t>#F4B183</t>
  </si>
  <si>
    <t>#E06666</t>
  </si>
  <si>
    <t>Sumber/Referensi Tabel Skala: metodologi non-linear risk ranking ISO 31000:2018 (klausul 5.4.3 - penentuan level risiko); praktik matriks 5x5 K3/SMKP BUMN sektor energi &amp; tambang; disesuaikan dengan nomenklatur 5-tingkat (Low / Low to Moderate / Moderate / Moderate to High / High).</t>
  </si>
  <si>
    <t>11. METODOLOGI EARLY WARNING SYSTEM (EWS) — 3 STATUS (AMAN / WASPADA / BAHAYA)</t>
  </si>
  <si>
    <t>Setiap parameter EWS diklasifikasikan ke 3 status menggunakan pendekatan Key Risk Indicator (KRI) Traffic Light dengan buffer toleransi 10% dari threshold sebagai batas Waspada (Amber Zone), mengacu pada COSO Enterprise Risk Management Framework (2017) dan praktik RCSA-KRI PT (Persero) yang telah dirujuk pada dokumen ini.</t>
  </si>
  <si>
    <t>Status</t>
  </si>
  <si>
    <t>Definisi Ambang Batas (untuk indikator "semakin tinggi semakin baik")</t>
  </si>
  <si>
    <t>Warna</t>
  </si>
  <si>
    <t>Aman</t>
  </si>
  <si>
    <t>Nilai Aktual &gt;= Threshold (batas aman terpenuhi)</t>
  </si>
  <si>
    <t>Waspada</t>
  </si>
  <si>
    <t>Bahaya</t>
  </si>
  <si>
    <t>12. METODOLOGI PERHITUNGAN SUB-INDEKS RISIKO</t>
  </si>
  <si>
    <t>Masing-masing sub-indeks risiko dihitung melalui metode penilaian pakar (expert scoring) pada skala 0-100:</t>
  </si>
  <si>
    <t>Sub-Indeks</t>
  </si>
  <si>
    <t>Definisi</t>
  </si>
  <si>
    <t>Parameter Penilaian</t>
  </si>
  <si>
    <t>Skala</t>
  </si>
  <si>
    <t>Skor 0 (Terendah)</t>
  </si>
  <si>
    <t>Skor 100 (Tertinggi)</t>
  </si>
  <si>
    <t>Mengukur tingkat risiko rantai pasokan bahan baku proyek</t>
  </si>
  <si>
    <t>Ketersediaan kontrak garam jangka panjang, stabilitas harga, keandalan pemasok, kapasitas logistik &amp; pelabuhan, regulasi impor garam (Perpres 17/2025)</t>
  </si>
  <si>
    <t>0 – 100</t>
  </si>
  <si>
    <t>Risiko sangat rendah (pasokan sepenuhnya terjamin)</t>
  </si>
  <si>
    <t>Risiko sangat tinggi (pasokan tidak tersedia)</t>
  </si>
  <si>
    <t>Mengukur tingkat risiko pelaksanaan proyek EPC</t>
  </si>
  <si>
    <t>Progres konstruksi vs jadwal, performa kontraktor, isu interface antar EPC packages, kesiapan commissioning, ketersediaan sumber daya, kendala perizinan</t>
  </si>
  <si>
    <t>Risiko sangat rendah (eksekusi sempurna)</t>
  </si>
  <si>
    <t>Risiko sangat tinggi (proyek terhenti)</t>
  </si>
  <si>
    <t>Mengukur tingkat risiko komersial &amp; pemasaran produk</t>
  </si>
  <si>
    <t>Offtake agreement, strategi pemasaran, kesiapan distribusi, kualifikasi produk, persaingan impor</t>
  </si>
  <si>
    <t>Risiko sangat rendah (pasar terjamin)</t>
  </si>
  <si>
    <t>Risiko sangat tinggi (pasar tidak tersedia)</t>
  </si>
  <si>
    <t>13. KLASIFIKASI JUMLAH REGISTER RISIKO AKTIF (5 TINGKAT )</t>
  </si>
  <si>
    <t>Setiap risiko dalam register diklasifikasi berdasarkan Skala Risiko Non-Linear 5x5 (bagian 10) ke dalam 5 tingkat risiko :</t>
  </si>
  <si>
    <t>Rentang Skala (1-25)</t>
  </si>
  <si>
    <t>Sel Input_Bulanan</t>
  </si>
  <si>
    <t>D48</t>
  </si>
  <si>
    <t>D49</t>
  </si>
  <si>
    <t>D50</t>
  </si>
  <si>
    <t>D51</t>
  </si>
  <si>
    <t>D52</t>
  </si>
  <si>
    <t>PROJECT RISK &amp; HEALTH DASHBOARD</t>
  </si>
  <si>
    <t>PANEL A - PROJECT HEALTH OVERVIEW (Retrospective Performance)</t>
  </si>
  <si>
    <t>PANEL B - CURRENT RISK EXPOSURE (Prospective Threats)</t>
  </si>
  <si>
    <t>Sub-Index Readiness &amp; Performance</t>
  </si>
  <si>
    <t>Overall Risk Level (Composite)</t>
  </si>
  <si>
    <t>Risk Profile Heat Map (Likelihood x Consequence)</t>
  </si>
  <si>
    <t>L=5</t>
  </si>
  <si>
    <t>L=4</t>
  </si>
  <si>
    <t>L=3</t>
  </si>
  <si>
    <t>L=2</t>
  </si>
  <si>
    <t>L=1</t>
  </si>
  <si>
    <t>C -&gt;</t>
  </si>
  <si>
    <t>Key Financial &amp; Schedule</t>
  </si>
  <si>
    <t>Master Schedule S-Curve (USD Juta)</t>
  </si>
  <si>
    <t>Risk Register - Risiko Aktif</t>
  </si>
  <si>
    <t>Legenda Top Risk</t>
  </si>
  <si>
    <t>Cost Performance Index (CPI)</t>
  </si>
  <si>
    <t>Planned Value (PV)</t>
  </si>
  <si>
    <t>Schedule Performance Index (SPI)</t>
  </si>
  <si>
    <t>Earned Value (EV)</t>
  </si>
  <si>
    <t>Cost Variance (CV), USD Juta</t>
  </si>
  <si>
    <t>Actual Cost (AC)</t>
  </si>
  <si>
    <t>Schedule Variance (SV), USD Juta</t>
  </si>
  <si>
    <t>(Bar proporsional: lihat conditional formatting / grafik pada versi HTML)</t>
  </si>
  <si>
    <t>Catatan Metodologi</t>
  </si>
  <si>
    <t>Mitigation Health Progress</t>
  </si>
  <si>
    <t>Completed Mitigations</t>
  </si>
  <si>
    <t>On Track Mitigations</t>
  </si>
  <si>
    <t>Overdue Actions</t>
  </si>
  <si>
    <t>PANEL C - EARLY WARNING SYSTEM (EWS) ALERTS</t>
  </si>
  <si>
    <t>Threshold</t>
  </si>
  <si>
    <t>Aktual</t>
  </si>
  <si>
    <t>Implikasi Operasional &amp; Finansial</t>
  </si>
  <si>
    <t>Keterlambatan pengiriman pertama berpotensi memicu klaim dari Offtaker utama.</t>
  </si>
  <si>
    <t>Keterlambatan progres berpotensi menunda tahap commissioning.</t>
  </si>
  <si>
    <t>Belum tercapainya kuota offtake minimal mengancam kelayakan finansial operasi.</t>
  </si>
  <si>
    <t>PANEL D - EXECUTIVE ACTIONS &amp; DECISION REQUIRED</t>
  </si>
  <si>
    <t>Rincian lengkap: lihat sheet 'Risk_Action_Tracker' - Executive Action Tracker Direksi/PSC.</t>
  </si>
  <si>
    <t>EXECUTIVE ACTION TRACKER — DIREKSI / PROJECT STEERING COMMITTEE (PSC)</t>
  </si>
  <si>
    <t>Tracker Risiko &amp; Aksi Eksekutif — diperbarui setiap periode pelaporan bulanan. Kategori Level mengikuti Risk Register aktif.</t>
  </si>
  <si>
    <t>No</t>
  </si>
  <si>
    <t>Isu Strategis / Peristiwa Risiko Kritis</t>
  </si>
  <si>
    <t>Kategori &amp; Level Risiko</t>
  </si>
  <si>
    <t>Keputusan &amp; Rencana Tindakan Diperlukan</t>
  </si>
  <si>
    <t>PIC (Unit Penanggung Jawab)</t>
  </si>
  <si>
    <t>Perkiraan Dampak Finansial &amp; Kelayakan NPV</t>
  </si>
  <si>
    <t>Prioritas Dashboard (1, 2, 3...)</t>
  </si>
  <si>
    <t>Helper Priority Score</t>
  </si>
  <si>
    <t>1</t>
  </si>
  <si>
    <t>Ketergantungan Antarmuka (Interface) Lintas EPC-A, B, C, D</t>
  </si>
  <si>
    <t>Eksekusi — High</t>
  </si>
  <si>
    <t>Mengesahkan pembentukan tim Interface Coordinator dan menerapkan Interface Management Plan (IMP) yang mengikat seluruh kontraktor; mengharuskan Rekind menyelaraskan jadwal penyusunan gambar detail dengan kemajuan ISBL EPC-A.</t>
  </si>
  <si>
    <t>VP Proyek Proyek &amp; SVP Pengembangan Portofolio</t>
  </si>
  <si>
    <t>Mencegah kegagalan penyelesaian proyek bersamaan, mengamankan target COD Maret 2028, melindungi NPV sebesar USD 77,60 Juta.</t>
  </si>
  <si>
    <t>2</t>
  </si>
  <si>
    <t>Keterbatasan Kapasitas Keuangan Rekind (EPC-B)</t>
  </si>
  <si>
    <t>Finansial — Moderate to High</t>
  </si>
  <si>
    <t>Memberikan dispensasi perpanjangan jaminan pelaksanaan secara terkendali; meminta Parent Company Guarantee dari PT Perusahaan Induk X (Persero) untuk menjamin ketersediaan pendanaan bila Rekind menghadapi kendala likuiditas.</t>
  </si>
  <si>
    <t>Direktur Utama Perusahaan &amp; SVP Keuangan</t>
  </si>
  <si>
    <t>Melindungi penyelesaian gardu kelistrikan dan fasilitas tie-in, menghindari denda klaim tambahan dari EPC-A.</t>
  </si>
  <si>
    <t>3</t>
  </si>
  <si>
    <t>Kelangkaan &amp; Hambatan Perizinan Impor Garam Industri</t>
  </si>
  <si>
    <t>Hulu / Supply — Moderate to High</t>
  </si>
  <si>
    <t>Lobi aktif dan koordinasi dengan Kementerian Perindustrian serta Kementerian Kelautan dan Perikanan guna mengamankan alokasi kuota impor tahunan setahun sebelum operasional dimulai, merujuk Perpres No.17/2025.</t>
  </si>
  <si>
    <t>Direktur Utama Perusahaan &amp; SVP Pengembangan Portofolio</t>
  </si>
  <si>
    <t>Menghindari penghentian operasional akibat kekosongan bahan baku; menghemat potensi kerugian EBITDA Rp 137 Miliar/kuartal.</t>
  </si>
  <si>
    <t>4</t>
  </si>
  <si>
    <t>Fluktuasi Nilai Tukar Valas Terhadap Sisa Pembayaran Kontrak EPC-A</t>
  </si>
  <si>
    <t>Keuangan — Moderate</t>
  </si>
  <si>
    <t>Menginstruksikan Kompartemen Keuangan mengimplementasikan strategi hedging valas (forward/opsi) bekerja sama dengan bank BUMN nasional untuk mengunci porsi sisa pembayaran dalam USD.</t>
  </si>
  <si>
    <t>Direktur Keuangan Perusahaan</t>
  </si>
  <si>
    <t>Mengeliminasi risiko pembengkakan biaya investasi riil akibat depresiasi rupiah; mengamankan ambang batas investasi USD 297,67 Juta.</t>
  </si>
  <si>
    <t>5</t>
  </si>
  <si>
    <t>Hambatan Penerbitan PBG &amp; SLF di Lahan Tursina Barat</t>
  </si>
  <si>
    <t>Regulasi — Moderate</t>
  </si>
  <si>
    <t>Membentuk tim percepatan perizinan internal untuk koordinasi harian dengan DLH Kota X dan Dinas PUPR Provinsi Provinsi X guna mempercepat adendum dokumen lingkungan di lahan sengketa.</t>
  </si>
  <si>
    <t>VP Hukum &amp; Humas Perusahaan</t>
  </si>
  <si>
    <t>Mencegah keterlambatan masa efektif konstruksi fisik; menghemat opportunity cost of capital senilai Rp 500 Juta/bulan.</t>
  </si>
  <si>
    <t>Sumber tata kelola: kerangka Gate Review &amp; FID industri; Weighted Project Top Risk (Financial Materiality 40%, Strategic Impact 30%, Life Cycle Phase 15%, Financial Health Impact 10%, Baseline Risk Complexity 5%). Level risiko mengikuti klasifikasi 5-tingkat Pedoman Manajemen Risiko Perusahaan: Low / Low to Moderate / Moderate / Moderate to High / High.</t>
  </si>
  <si>
    <t>DINAMIKA PERGERAKAN RISIKO (BULAN BERJALAN)</t>
  </si>
  <si>
    <t>Perubahan tarif pajak masukan impor garam industri; risiko sengketa lahan tambahan di area laydown.</t>
  </si>
  <si>
    <t>Peningkatan level risiko keterlambatan Rekind akibat kendala arus kas internal.</t>
  </si>
  <si>
    <t>Penurunan risiko dampak sosial setelah disepakatinya kuota tenaga kerja lokal.</t>
  </si>
  <si>
    <t>Penutupan risiko kelayakan AMDAL seiring diterbitkannya izin adendum lingkungan DLH Bontang.</t>
  </si>
  <si>
    <t>TOP RISK REGISTER - DETAIL LIKELIHOOD x CONSEQUENCE</t>
  </si>
  <si>
    <t>Deskripsi Risiko</t>
  </si>
  <si>
    <t>L</t>
  </si>
  <si>
    <t>C</t>
  </si>
  <si>
    <t>Score / Level</t>
  </si>
  <si>
    <t>PARAMETER</t>
  </si>
  <si>
    <t>INDIKATOR</t>
  </si>
  <si>
    <t>KRITERIA HIJAU</t>
  </si>
  <si>
    <t>KRITERIA KUNING</t>
  </si>
  <si>
    <t>KRITERIA MERAH</t>
  </si>
  <si>
    <t>Budget Performance</t>
  </si>
  <si>
    <t>Cost Variance (CV = EV - AC)</t>
  </si>
  <si>
    <t>CV ≥ 0</t>
  </si>
  <si>
    <t>CV negatif ≤ 5% Budget</t>
  </si>
  <si>
    <t>CV negatif &gt;5% Budget</t>
  </si>
  <si>
    <t>≥1,00</t>
  </si>
  <si>
    <t>0,95–0,99</t>
  </si>
  <si>
    <t>&lt;0,95</t>
  </si>
  <si>
    <t>Cash Flow Health</t>
  </si>
  <si>
    <t>Ketersediaan Dana terhadap kebutuhan 3 bulan</t>
  </si>
  <si>
    <t>≥100%</t>
  </si>
  <si>
    <t>80–99%</t>
  </si>
  <si>
    <t>&lt;80%</t>
  </si>
  <si>
    <t>Cash Flow Variance</t>
  </si>
  <si>
    <t>Deviasi ≤5%</t>
  </si>
  <si>
    <t>5–10%</t>
  </si>
  <si>
    <t>&gt;10%</t>
  </si>
  <si>
    <t>Forecast Cost</t>
  </si>
  <si>
    <t>Estimate at Completion (EAC) vs Approved Budget</t>
  </si>
  <si>
    <t>≤100% Budget</t>
  </si>
  <si>
    <t>100–105%</t>
  </si>
  <si>
    <t>&gt;105%</t>
  </si>
  <si>
    <t>Forecast Cost Overrun</t>
  </si>
  <si>
    <t>&lt;3%</t>
  </si>
  <si>
    <t>3–10%</t>
  </si>
  <si>
    <t>Funding Health</t>
  </si>
  <si>
    <t>Financing Availability</t>
  </si>
  <si>
    <t>Seluruh pendanaan tersedia</t>
  </si>
  <si>
    <t>Ada keterlambatan minor</t>
  </si>
  <si>
    <t>Belum tersedia/defisit dana</t>
  </si>
  <si>
    <t>Loan Drawdown Progress</t>
  </si>
  <si>
    <t>≥95% sesuai rencana</t>
  </si>
  <si>
    <t>80–94%</t>
  </si>
  <si>
    <t>Payment Performance</t>
  </si>
  <si>
    <t>Progress Payment Delay</t>
  </si>
  <si>
    <t>≤7 hari</t>
  </si>
  <si>
    <t>8–30 hari</t>
  </si>
  <si>
    <t>&gt;30 hari</t>
  </si>
  <si>
    <t>Outstanding Invoice</t>
  </si>
  <si>
    <t>&lt;5% nilai kontrak</t>
  </si>
  <si>
    <t>Contingency Utilization</t>
  </si>
  <si>
    <t>Penggunaan Contingency Budget</t>
  </si>
  <si>
    <t>&lt;50%</t>
  </si>
  <si>
    <t>50–80%</t>
  </si>
  <si>
    <t>&gt;80%</t>
  </si>
  <si>
    <t>Remaining Contingency</t>
  </si>
  <si>
    <t>&gt;20%</t>
  </si>
  <si>
    <t>10–20%</t>
  </si>
  <si>
    <t>&lt;10%</t>
  </si>
  <si>
    <t>Contract &amp; Claim Health</t>
  </si>
  <si>
    <t>Nilai Claim terhadap Contract Value</t>
  </si>
  <si>
    <t>Change Order Exposure</t>
  </si>
  <si>
    <t>&lt;5%</t>
  </si>
  <si>
    <t>Financial Risk Exposure</t>
  </si>
  <si>
    <t>Nilai Risiko Finansial (Expected Loss)</t>
  </si>
  <si>
    <t>Sedang</t>
  </si>
  <si>
    <t>Risiko Nilai Tukar/Interest Rate</t>
  </si>
  <si>
    <t>Dalam batas toleransi</t>
  </si>
  <si>
    <t>Mendekati limit</t>
  </si>
  <si>
    <t>Melebihi limit</t>
  </si>
  <si>
    <t>Investment Performance (Capex Project)</t>
  </si>
  <si>
    <t>NPV Forecast</t>
  </si>
  <si>
    <t>Positif</t>
  </si>
  <si>
    <t>Turun ≤10%</t>
  </si>
  <si>
    <t>Negatif</t>
  </si>
  <si>
    <t>IRR Forecast</t>
  </si>
  <si>
    <t>≥Target</t>
  </si>
  <si>
    <t>Turun ≤2%</t>
  </si>
  <si>
    <t>Di bawah hurdle rate</t>
  </si>
  <si>
    <r>
      <t>Debt &amp; Covenant</t>
    </r>
    <r>
      <rPr>
        <sz val="11"/>
        <color theme="1"/>
        <rFont val="Calibri"/>
        <family val="2"/>
        <charset val="1"/>
      </rPr>
      <t xml:space="preserve"> </t>
    </r>
  </si>
  <si>
    <t>DSCR Forecast</t>
  </si>
  <si>
    <t>≥1,30</t>
  </si>
  <si>
    <t>1,10–1,29</t>
  </si>
  <si>
    <t>&lt;1,10</t>
  </si>
  <si>
    <t>Covenant Compliance</t>
  </si>
  <si>
    <t>Seluruh covenant terpenuhi</t>
  </si>
  <si>
    <t>Mendekati threshold</t>
  </si>
  <si>
    <t>Pelanggaran covenant</t>
  </si>
  <si>
    <t>PT Pupuk Kaltim</t>
  </si>
  <si>
    <t>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</si>
</sst>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#,##0.0;\(#,##0.0\)"/>
    <numFmt numFmtId="166" formatCode="dd\-mmm\-yy"/>
    <numFmt numFmtId="167" formatCode="0\ &quot;hari&quot;"/>
    <numFmt numFmtId="168" formatCode="0.0"/>
    <numFmt numFmtId="169" formatCode="yyyy\-mm\-dd"/>
  </numFmts>
  <fonts count="8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6A13"/>
      <name val="Arial"/>
      <charset val="1"/>
    </font>
    <font>
      <b/>
      <sz val="10.5"/>
      <color rgb="FFFFFFFF"/>
      <name val="Arial"/>
      <charset val="1"/>
    </font>
    <font>
      <b/>
      <sz val="8.6999999999999993"/>
      <color rgb="FFFFFFFF"/>
      <name val="Arial"/>
      <charset val="1"/>
    </font>
    <font>
      <b/>
      <sz val="8.5"/>
      <color rgb="FFFFFFFF"/>
      <name val="Arial"/>
      <charset val="1"/>
    </font>
    <font>
      <b/>
      <sz val="26"/>
      <color rgb="FF0B1F3A"/>
      <name val="Arial"/>
      <charset val="1"/>
    </font>
    <font>
      <sz val="9"/>
      <color rgb="FF1B2430"/>
      <name val="Arial"/>
      <charset val="1"/>
    </font>
    <font>
      <b/>
      <sz val="11"/>
      <color rgb="FF0B1F3A"/>
      <name val="Arial"/>
      <charset val="1"/>
    </font>
    <font>
      <b/>
      <sz val="19"/>
      <color rgb="FFFFFFFF"/>
      <name val="Arial"/>
      <charset val="1"/>
    </font>
    <font>
      <sz val="7.5"/>
      <color rgb="FF5B6B84"/>
      <name val="Arial"/>
      <charset val="1"/>
    </font>
    <font>
      <b/>
      <sz val="8.5"/>
      <color rgb="FF0C2038"/>
      <name val="Arial"/>
      <charset val="1"/>
    </font>
    <font>
      <b/>
      <sz val="10"/>
      <color rgb="FFFFFFFF"/>
      <name val="Arial"/>
      <charset val="1"/>
    </font>
    <font>
      <b/>
      <sz val="9.5"/>
      <color rgb="FF0B1F3A"/>
      <name val="Arial"/>
      <charset val="1"/>
    </font>
    <font>
      <i/>
      <sz val="7"/>
      <color rgb="FF5B6B84"/>
      <name val="Arial"/>
      <charset val="1"/>
    </font>
    <font>
      <b/>
      <sz val="10.5"/>
      <color rgb="FF0B1F3A"/>
      <name val="Arial"/>
      <charset val="1"/>
    </font>
    <font>
      <sz val="8.6999999999999993"/>
      <color rgb="FF1B2430"/>
      <name val="Arial"/>
      <charset val="1"/>
    </font>
    <font>
      <b/>
      <sz val="10"/>
      <color rgb="FF0B1F3A"/>
      <name val="Arial"/>
      <charset val="1"/>
    </font>
    <font>
      <b/>
      <sz val="10"/>
      <color rgb="FF1B2430"/>
      <name val="Arial"/>
      <charset val="1"/>
    </font>
    <font>
      <b/>
      <sz val="9"/>
      <color rgb="FFFFFFFF"/>
      <name val="Arial"/>
      <charset val="1"/>
    </font>
    <font>
      <sz val="7.6"/>
      <color rgb="FF1B2430"/>
      <name val="Arial"/>
      <charset val="1"/>
    </font>
    <font>
      <i/>
      <sz val="7.3"/>
      <color rgb="FF7C8CA6"/>
      <name val="Arial"/>
      <charset val="1"/>
    </font>
    <font>
      <b/>
      <sz val="8.6999999999999993"/>
      <color rgb="FF1B2430"/>
      <name val="Arial"/>
      <charset val="1"/>
    </font>
    <font>
      <b/>
      <sz val="10"/>
      <color rgb="FFC0392B"/>
      <name val="Arial"/>
      <charset val="1"/>
    </font>
    <font>
      <b/>
      <sz val="9.5"/>
      <color rgb="FF1B2430"/>
      <name val="Arial"/>
      <charset val="1"/>
    </font>
    <font>
      <sz val="8.3000000000000007"/>
      <color rgb="FF1B2430"/>
      <name val="Arial"/>
      <charset val="1"/>
    </font>
    <font>
      <b/>
      <sz val="14"/>
      <color rgb="FF0B1F3A"/>
      <name val="Arial"/>
      <charset val="1"/>
    </font>
    <font>
      <i/>
      <sz val="9"/>
      <color rgb="FF55606E"/>
      <name val="Arial"/>
      <charset val="1"/>
    </font>
    <font>
      <b/>
      <sz val="13"/>
      <color rgb="FFFFFFFF"/>
      <name val="Arial"/>
      <charset val="1"/>
    </font>
    <font>
      <sz val="9.5"/>
      <color rgb="FF1B2430"/>
      <name val="Arial"/>
      <charset val="1"/>
    </font>
    <font>
      <i/>
      <sz val="8.3000000000000007"/>
      <color rgb="FF55606E"/>
      <name val="Arial"/>
      <charset val="1"/>
    </font>
    <font>
      <i/>
      <sz val="9.5"/>
      <color rgb="FF1B2430"/>
      <name val="Arial"/>
      <charset val="1"/>
    </font>
    <font>
      <i/>
      <sz val="8.5"/>
      <color rgb="FF55606E"/>
      <name val="Arial"/>
      <charset val="1"/>
    </font>
    <font>
      <b/>
      <sz val="9"/>
      <color rgb="FF1B2430"/>
      <name val="Arial"/>
      <charset val="1"/>
    </font>
    <font>
      <i/>
      <sz val="9"/>
      <color rgb="FF1B2430"/>
      <name val="Arial"/>
      <charset val="1"/>
    </font>
    <font>
      <sz val="9"/>
      <color rgb="FFFFFFFF"/>
      <name val="Arial"/>
      <charset val="1"/>
    </font>
    <font>
      <sz val="10"/>
      <color rgb="FF0000FF"/>
      <name val="Arial"/>
      <charset val="1"/>
    </font>
    <font>
      <b/>
      <sz val="12"/>
      <color rgb="FFFFFFFF"/>
      <name val="Arial"/>
      <charset val="1"/>
    </font>
    <font>
      <sz val="10"/>
      <color rgb="FF1B2430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Calibri"/>
    </font>
    <font>
      <b/>
      <sz val="10"/>
      <color rgb="FF0C2038"/>
      <name val="Calibri"/>
    </font>
    <font>
      <b/>
      <sz val="10"/>
      <color rgb="FF0B1F3A"/>
      <name val="Calibri"/>
    </font>
    <font>
      <b/>
      <sz val="10"/>
      <color rgb="FFFFFFFF"/>
      <name val="Arial"/>
    </font>
    <font>
      <sz val="11"/>
      <color rgb="FF000000"/>
      <name val="Calibri"/>
    </font>
    <font>
      <b/>
      <sz val="9"/>
      <color rgb="FFFFFFFF"/>
      <name val="Arial"/>
    </font>
    <font>
      <b/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538135"/>
      <name val="Calibri"/>
      <family val="2"/>
      <charset val="1"/>
    </font>
    <font>
      <b/>
      <sz val="8"/>
      <color rgb="FF1B2430"/>
      <name val="Arial"/>
      <family val="2"/>
    </font>
    <font>
      <sz val="11"/>
      <color rgb="FFFFFFFF"/>
      <name val="Calibri"/>
    </font>
    <font>
      <b/>
      <sz val="11"/>
      <color theme="1"/>
      <name val="Calibri"/>
      <family val="2"/>
    </font>
    <font>
      <b/>
      <sz val="11"/>
      <color rgb="FF0070C0"/>
      <name val="Calibri"/>
      <family val="2"/>
    </font>
    <font>
      <b/>
      <sz val="14"/>
      <color rgb="FFFFFFFF"/>
      <name val="Calibri"/>
    </font>
    <font>
      <i/>
      <sz val="10"/>
      <name val="Calibri"/>
    </font>
    <font>
      <b/>
      <sz val="12"/>
      <color rgb="FF0B1F3A"/>
      <name val="Calibri"/>
    </font>
    <font>
      <sz val="11"/>
      <name val="Calibri"/>
    </font>
    <font>
      <b/>
      <sz val="11"/>
      <color rgb="FF0066CC"/>
      <name val="Calibri"/>
    </font>
    <font>
      <b/>
      <sz val="11"/>
      <color rgb="FFFFFFFF"/>
      <name val="Calibri"/>
    </font>
    <font>
      <b/>
      <sz val="11"/>
      <color rgb="FF0066CC"/>
      <name val="Calibri"/>
    </font>
    <font>
      <b/>
      <sz val="12"/>
      <color rgb="FF0B1F3A"/>
      <name val="Calibri"/>
    </font>
    <font>
      <b/>
      <sz val="11"/>
      <color rgb="FF0066CC"/>
      <name val="Calibri"/>
    </font>
    <font>
      <sz val="11"/>
      <name val="Calibri"/>
    </font>
    <font>
      <b/>
      <sz val="12"/>
      <color rgb="FF0B1F3A"/>
      <name val="Calibri"/>
    </font>
    <font>
      <i/>
      <sz val="10"/>
      <color rgb="FFC00000"/>
      <name val="Calibri"/>
    </font>
    <font>
      <b/>
      <sz val="11"/>
      <color rgb="FFFFFFFF"/>
      <name val="Calibri"/>
    </font>
    <font>
      <b/>
      <sz val="11"/>
      <color rgb="FF833C00"/>
      <name val="Calibri"/>
    </font>
    <font>
      <i/>
      <sz val="10"/>
      <color rgb="FF595959"/>
      <name val="Calibri"/>
    </font>
    <font>
      <b/>
      <sz val="11"/>
      <color rgb="FF375623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833C00"/>
      <name val="Calibri"/>
    </font>
    <font>
      <i/>
      <sz val="10"/>
      <color rgb="FF595959"/>
      <name val="Calibri"/>
    </font>
    <font>
      <b/>
      <sz val="12"/>
      <color rgb="FF0B1F3A"/>
      <name val="Calibri"/>
    </font>
    <font>
      <b/>
      <i/>
      <sz val="11"/>
      <color rgb="FFC00000"/>
      <name val="Calibri"/>
    </font>
    <font>
      <b/>
      <sz val="11"/>
      <name val="Calibri"/>
    </font>
    <font>
      <i/>
      <strike/>
      <sz val="11"/>
      <color rgb="FF808080"/>
      <name val="Calibri"/>
    </font>
    <font>
      <b/>
      <strike/>
      <sz val="11"/>
      <color rgb="FF808080"/>
      <name val="Calibri"/>
    </font>
    <font>
      <sz val="11"/>
      <color theme="1"/>
      <name val="Calibri"/>
      <family val="2"/>
      <charset val="1"/>
    </font>
    <font>
      <b/>
      <sz val="11"/>
      <color rgb="FF333333"/>
      <name val="Calibri"/>
    </font>
    <font>
      <sz val="9"/>
      <color indexed="81"/>
      <name val="Tahoma"/>
      <family val="2"/>
    </font>
    <font>
      <b/>
      <sz val="11"/>
      <color theme="0"/>
      <name val="Calibri"/>
      <family val="2"/>
    </font>
    <font>
      <sz val="9"/>
      <color rgb="FF1B2430"/>
      <name val="Arial"/>
      <family val="2"/>
    </font>
    <font>
      <b/>
      <sz val="12"/>
      <color theme="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9"/>
      <color indexed="81"/>
      <name val="Tahoma"/>
      <family val="2"/>
    </font>
  </fonts>
  <fills count="54">
    <fill>
      <patternFill patternType="none"/>
    </fill>
    <fill>
      <patternFill patternType="gray125"/>
    </fill>
    <fill>
      <patternFill patternType="solid">
        <fgColor rgb="FF0B1F3A"/>
        <bgColor rgb="FF0C2038"/>
      </patternFill>
    </fill>
    <fill>
      <patternFill patternType="solid">
        <fgColor rgb="FF1B3A63"/>
        <bgColor rgb="FF12294D"/>
      </patternFill>
    </fill>
    <fill>
      <patternFill patternType="solid">
        <fgColor rgb="FF12294D"/>
        <bgColor rgb="FF0C2038"/>
      </patternFill>
    </fill>
    <fill>
      <patternFill patternType="solid">
        <fgColor rgb="FFFFFFFF"/>
        <bgColor rgb="FFF2F4F7"/>
      </patternFill>
    </fill>
    <fill>
      <patternFill patternType="solid">
        <fgColor rgb="FFE06666"/>
        <bgColor rgb="FFFF6A13"/>
      </patternFill>
    </fill>
    <fill>
      <patternFill patternType="solid">
        <fgColor rgb="FFFFD966"/>
        <bgColor rgb="FFFCE29B"/>
      </patternFill>
    </fill>
    <fill>
      <patternFill patternType="solid">
        <fgColor rgb="FFF4B183"/>
        <bgColor rgb="FFF5B27A"/>
      </patternFill>
    </fill>
    <fill>
      <patternFill patternType="solid">
        <fgColor rgb="FFA9D18E"/>
        <bgColor rgb="FFC9E4A6"/>
      </patternFill>
    </fill>
    <fill>
      <patternFill patternType="solid">
        <fgColor rgb="FF538135"/>
        <bgColor rgb="FF5B6B84"/>
      </patternFill>
    </fill>
    <fill>
      <patternFill patternType="solid">
        <fgColor rgb="FFF2F4F7"/>
        <bgColor rgb="FFFFFFFF"/>
      </patternFill>
    </fill>
    <fill>
      <patternFill patternType="solid">
        <fgColor rgb="FFF1A9A0"/>
        <bgColor rgb="FFF4B183"/>
      </patternFill>
    </fill>
    <fill>
      <patternFill patternType="solid">
        <fgColor rgb="FFF5B27A"/>
        <bgColor rgb="FFF4B183"/>
      </patternFill>
    </fill>
    <fill>
      <patternFill patternType="solid">
        <fgColor rgb="FFFCE29B"/>
        <bgColor rgb="FFFFF2A0"/>
      </patternFill>
    </fill>
    <fill>
      <patternFill patternType="solid">
        <fgColor rgb="FFFFE3CC"/>
        <bgColor rgb="FFFCE29B"/>
      </patternFill>
    </fill>
    <fill>
      <patternFill patternType="solid">
        <fgColor rgb="FFC9E4A6"/>
        <bgColor rgb="FFD5DBE5"/>
      </patternFill>
    </fill>
    <fill>
      <patternFill patternType="solid">
        <fgColor rgb="FFFFF2A0"/>
        <bgColor rgb="FFFCE29B"/>
      </patternFill>
    </fill>
    <fill>
      <patternFill patternType="solid">
        <fgColor rgb="FFE06666"/>
        <bgColor rgb="FFE06666"/>
      </patternFill>
    </fill>
    <fill>
      <patternFill patternType="solid">
        <fgColor rgb="FFF4B183"/>
        <bgColor rgb="FFF4B183"/>
      </patternFill>
    </fill>
    <fill>
      <patternFill patternType="solid">
        <fgColor rgb="FFFFD966"/>
        <bgColor rgb="FFFFD966"/>
      </patternFill>
    </fill>
    <fill>
      <patternFill patternType="solid">
        <fgColor rgb="FFA9D18E"/>
        <bgColor rgb="FFA9D18E"/>
      </patternFill>
    </fill>
    <fill>
      <patternFill patternType="solid">
        <fgColor rgb="FF538135"/>
        <bgColor rgb="FF538135"/>
      </patternFill>
    </fill>
    <fill>
      <patternFill patternType="solid">
        <fgColor rgb="FF12294D"/>
        <bgColor rgb="FF12294D"/>
      </patternFill>
    </fill>
    <fill>
      <patternFill patternType="solid">
        <fgColor rgb="FFEAEAEA"/>
        <bgColor rgb="FFEAEAEA"/>
      </patternFill>
    </fill>
    <fill>
      <patternFill patternType="solid">
        <fgColor rgb="FF0B1F3A"/>
        <bgColor rgb="FF0B1F3A"/>
      </patternFill>
    </fill>
    <fill>
      <patternFill patternType="solid">
        <fgColor rgb="FFD4E6F3"/>
        <bgColor rgb="FFD4E6F3"/>
      </patternFill>
    </fill>
    <fill>
      <patternFill patternType="solid">
        <fgColor rgb="FFF0F0F0"/>
        <bgColor rgb="FFF0F0F0"/>
      </patternFill>
    </fill>
    <fill>
      <patternFill patternType="solid">
        <fgColor rgb="FFFFFF99"/>
        <bgColor rgb="FFFFFF99"/>
      </patternFill>
    </fill>
    <fill>
      <patternFill patternType="solid">
        <fgColor rgb="FF2E9B57"/>
        <bgColor rgb="FF2E9B57"/>
      </patternFill>
    </fill>
    <fill>
      <patternFill patternType="solid">
        <fgColor rgb="FFE8B93A"/>
        <bgColor rgb="FFE8B93A"/>
      </patternFill>
    </fill>
    <fill>
      <patternFill patternType="solid">
        <fgColor rgb="FFE4622E"/>
        <bgColor rgb="FFE4622E"/>
      </patternFill>
    </fill>
    <fill>
      <patternFill patternType="solid">
        <fgColor rgb="FFC0392B"/>
        <bgColor rgb="FFC0392B"/>
      </patternFill>
    </fill>
    <fill>
      <patternFill patternType="solid">
        <fgColor rgb="FFF0F0F0"/>
        <bgColor rgb="FFF0F0F0"/>
      </patternFill>
    </fill>
    <fill>
      <patternFill patternType="solid">
        <fgColor rgb="FFFFFF99"/>
        <bgColor rgb="FFFFFF99"/>
      </patternFill>
    </fill>
    <fill>
      <patternFill patternType="solid">
        <fgColor rgb="FFD4E6F3"/>
        <bgColor rgb="FFD4E6F3"/>
      </patternFill>
    </fill>
    <fill>
      <patternFill patternType="solid">
        <fgColor rgb="FFF0F0F0"/>
        <bgColor rgb="FFF0F0F0"/>
      </patternFill>
    </fill>
    <fill>
      <patternFill patternType="solid">
        <fgColor rgb="FFFFFF99"/>
        <bgColor rgb="FFFFFF99"/>
      </patternFill>
    </fill>
    <fill>
      <patternFill patternType="solid">
        <fgColor rgb="FFD4E6F3"/>
      </patternFill>
    </fill>
    <fill>
      <patternFill patternType="solid">
        <fgColor rgb="FFF0F0F0"/>
      </patternFill>
    </fill>
    <fill>
      <patternFill patternType="solid">
        <fgColor rgb="FFFFFF99"/>
      </patternFill>
    </fill>
    <fill>
      <patternFill patternType="solid">
        <fgColor rgb="FFD4E6F3"/>
      </patternFill>
    </fill>
    <fill>
      <patternFill patternType="solid">
        <fgColor rgb="FF2F75B6"/>
      </patternFill>
    </fill>
    <fill>
      <patternFill patternType="solid">
        <fgColor rgb="FFFFFF99"/>
      </patternFill>
    </fill>
    <fill>
      <patternFill patternType="solid">
        <fgColor rgb="FFE2EFDA"/>
      </patternFill>
    </fill>
    <fill>
      <patternFill patternType="solid">
        <fgColor rgb="FF70AD47"/>
      </patternFill>
    </fill>
    <fill>
      <patternFill patternType="solid">
        <fgColor rgb="FFFCE4D6"/>
      </patternFill>
    </fill>
    <fill>
      <patternFill patternType="solid">
        <fgColor rgb="FFC55A11"/>
      </patternFill>
    </fill>
    <fill>
      <patternFill patternType="solid">
        <fgColor rgb="FF7030A0"/>
      </patternFill>
    </fill>
    <fill>
      <patternFill patternType="solid">
        <fgColor rgb="FFFFFF99"/>
      </patternFill>
    </fill>
    <fill>
      <patternFill patternType="solid">
        <fgColor rgb="FFD4E6F3"/>
      </patternFill>
    </fill>
    <fill>
      <patternFill patternType="solid">
        <fgColor rgb="FFD9D9D9"/>
        <bgColor rgb="FFD9D9D9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B9C2CE"/>
      </left>
      <right style="thin">
        <color rgb="FFB9C2CE"/>
      </right>
      <top style="thin">
        <color rgb="FFB9C2CE"/>
      </top>
      <bottom style="thin">
        <color rgb="FFB9C2CE"/>
      </bottom>
      <diagonal/>
    </border>
    <border>
      <left style="thin">
        <color rgb="FFB9C2CE"/>
      </left>
      <right/>
      <top style="thin">
        <color rgb="FFB9C2CE"/>
      </top>
      <bottom style="thin">
        <color rgb="FFB9C2CE"/>
      </bottom>
      <diagonal/>
    </border>
    <border>
      <left style="thin">
        <color rgb="FFD5DBE5"/>
      </left>
      <right style="thin">
        <color rgb="FFD5DBE5"/>
      </right>
      <top style="thin">
        <color rgb="FFD5DBE5"/>
      </top>
      <bottom style="thin">
        <color rgb="FFD5DBE5"/>
      </bottom>
      <diagonal/>
    </border>
    <border>
      <left/>
      <right/>
      <top style="thin">
        <color rgb="FFB9C2CE"/>
      </top>
      <bottom/>
      <diagonal/>
    </border>
    <border>
      <left/>
      <right style="thin">
        <color rgb="FFB9C2CE"/>
      </right>
      <top style="thin">
        <color rgb="FFB9C2CE"/>
      </top>
      <bottom/>
      <diagonal/>
    </border>
    <border>
      <left/>
      <right/>
      <top style="thin">
        <color rgb="FFB9C2CE"/>
      </top>
      <bottom style="thin">
        <color rgb="FFB9C2CE"/>
      </bottom>
      <diagonal/>
    </border>
    <border>
      <left/>
      <right style="thin">
        <color rgb="FFB9C2CE"/>
      </right>
      <top style="thin">
        <color rgb="FFB9C2CE"/>
      </top>
      <bottom style="thin">
        <color rgb="FFB9C2CE"/>
      </bottom>
      <diagonal/>
    </border>
    <border>
      <left style="thin">
        <color rgb="FFB9C2CE"/>
      </left>
      <right/>
      <top/>
      <bottom/>
      <diagonal/>
    </border>
    <border>
      <left/>
      <right style="thin">
        <color rgb="FFB9C2CE"/>
      </right>
      <top/>
      <bottom/>
      <diagonal/>
    </border>
    <border>
      <left style="thin">
        <color rgb="FFB9C2CE"/>
      </left>
      <right/>
      <top/>
      <bottom style="thin">
        <color rgb="FFB9C2CE"/>
      </bottom>
      <diagonal/>
    </border>
    <border>
      <left/>
      <right/>
      <top/>
      <bottom style="thin">
        <color rgb="FFB9C2CE"/>
      </bottom>
      <diagonal/>
    </border>
    <border>
      <left/>
      <right style="thin">
        <color rgb="FFB9C2CE"/>
      </right>
      <top/>
      <bottom style="thin">
        <color rgb="FFB9C2CE"/>
      </bottom>
      <diagonal/>
    </border>
    <border>
      <left/>
      <right/>
      <top style="thin">
        <color rgb="FFD5DBE5"/>
      </top>
      <bottom style="thin">
        <color rgb="FFD5DBE5"/>
      </bottom>
      <diagonal/>
    </border>
    <border>
      <left/>
      <right style="thin">
        <color rgb="FFD5DBE5"/>
      </right>
      <top style="thin">
        <color rgb="FFD5DBE5"/>
      </top>
      <bottom style="thin">
        <color rgb="FFD5DBE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79" fillId="0" borderId="0"/>
  </cellStyleXfs>
  <cellXfs count="256">
    <xf numFmtId="0" fontId="0" fillId="0" borderId="0" xfId="0"/>
    <xf numFmtId="0" fontId="10" fillId="0" borderId="0" xfId="0" applyFont="1" applyAlignment="1">
      <alignment horizontal="right" vertical="center"/>
    </xf>
    <xf numFmtId="0" fontId="5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right"/>
    </xf>
    <xf numFmtId="0" fontId="10" fillId="0" borderId="0" xfId="0" applyFont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1" fontId="18" fillId="11" borderId="1" xfId="0" applyNumberFormat="1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26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left" vertical="top" wrapText="1"/>
    </xf>
    <xf numFmtId="0" fontId="29" fillId="5" borderId="1" xfId="0" applyFont="1" applyFill="1" applyBorder="1" applyAlignment="1">
      <alignment horizontal="left" vertical="top" wrapText="1"/>
    </xf>
    <xf numFmtId="0" fontId="29" fillId="5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left" vertical="top" wrapText="1"/>
    </xf>
    <xf numFmtId="0" fontId="24" fillId="11" borderId="1" xfId="0" applyFont="1" applyFill="1" applyBorder="1" applyAlignment="1">
      <alignment horizontal="left" vertical="top" wrapText="1"/>
    </xf>
    <xf numFmtId="0" fontId="29" fillId="11" borderId="1" xfId="0" applyFont="1" applyFill="1" applyBorder="1" applyAlignment="1">
      <alignment horizontal="left" vertical="top" wrapText="1"/>
    </xf>
    <xf numFmtId="0" fontId="30" fillId="11" borderId="1" xfId="0" applyFont="1" applyFill="1" applyBorder="1" applyAlignment="1">
      <alignment horizontal="left" vertical="top" wrapText="1"/>
    </xf>
    <xf numFmtId="0" fontId="18" fillId="0" borderId="0" xfId="0" applyFont="1"/>
    <xf numFmtId="0" fontId="33" fillId="11" borderId="1" xfId="0" applyFont="1" applyFill="1" applyBorder="1" applyAlignment="1">
      <alignment horizontal="left" vertical="center" wrapText="1"/>
    </xf>
    <xf numFmtId="0" fontId="33" fillId="5" borderId="1" xfId="0" applyFont="1" applyFill="1" applyBorder="1" applyAlignment="1">
      <alignment horizontal="left" vertical="center" wrapText="1"/>
    </xf>
    <xf numFmtId="0" fontId="33" fillId="9" borderId="1" xfId="0" applyFont="1" applyFill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center" vertical="center" wrapText="1"/>
    </xf>
    <xf numFmtId="0" fontId="33" fillId="14" borderId="1" xfId="0" applyFont="1" applyFill="1" applyBorder="1" applyAlignment="1">
      <alignment horizontal="center" vertical="center" wrapText="1"/>
    </xf>
    <xf numFmtId="0" fontId="33" fillId="13" borderId="1" xfId="0" applyFont="1" applyFill="1" applyBorder="1" applyAlignment="1">
      <alignment horizontal="center" vertical="center" wrapText="1"/>
    </xf>
    <xf numFmtId="0" fontId="33" fillId="1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0" fillId="0" borderId="0" xfId="0" applyFont="1" applyAlignment="1">
      <alignment horizontal="left" vertical="top" wrapText="1"/>
    </xf>
    <xf numFmtId="0" fontId="12" fillId="4" borderId="0" xfId="0" applyFont="1" applyFill="1"/>
    <xf numFmtId="0" fontId="0" fillId="4" borderId="0" xfId="0" applyFill="1"/>
    <xf numFmtId="0" fontId="7" fillId="0" borderId="3" xfId="0" applyFont="1" applyBorder="1" applyAlignment="1">
      <alignment horizontal="center" vertical="center"/>
    </xf>
    <xf numFmtId="0" fontId="35" fillId="10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35" fillId="6" borderId="3" xfId="0" applyFont="1" applyFill="1" applyBorder="1" applyAlignment="1">
      <alignment horizontal="center" vertical="center"/>
    </xf>
    <xf numFmtId="0" fontId="19" fillId="4" borderId="0" xfId="0" applyFont="1" applyFill="1" applyAlignment="1">
      <alignment horizontal="center" vertical="center" wrapText="1"/>
    </xf>
    <xf numFmtId="0" fontId="19" fillId="10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33" fillId="7" borderId="3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36" fillId="17" borderId="1" xfId="0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left" vertical="center" wrapText="1"/>
    </xf>
    <xf numFmtId="164" fontId="36" fillId="17" borderId="1" xfId="0" applyNumberFormat="1" applyFont="1" applyFill="1" applyBorder="1" applyAlignment="1">
      <alignment horizontal="center" vertical="center" wrapText="1"/>
    </xf>
    <xf numFmtId="2" fontId="18" fillId="11" borderId="1" xfId="0" applyNumberFormat="1" applyFont="1" applyFill="1" applyBorder="1" applyAlignment="1">
      <alignment horizontal="center" vertical="center" wrapText="1"/>
    </xf>
    <xf numFmtId="165" fontId="18" fillId="11" borderId="1" xfId="0" applyNumberFormat="1" applyFont="1" applyFill="1" applyBorder="1" applyAlignment="1">
      <alignment horizontal="center" vertical="center" wrapText="1"/>
    </xf>
    <xf numFmtId="10" fontId="36" fillId="17" borderId="1" xfId="0" applyNumberFormat="1" applyFont="1" applyFill="1" applyBorder="1" applyAlignment="1">
      <alignment horizontal="center" vertical="center" wrapText="1"/>
    </xf>
    <xf numFmtId="2" fontId="36" fillId="17" borderId="1" xfId="0" applyNumberFormat="1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1" fontId="36" fillId="17" borderId="1" xfId="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top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24" fillId="0" borderId="1" xfId="0" applyFont="1" applyBorder="1"/>
    <xf numFmtId="1" fontId="18" fillId="0" borderId="1" xfId="0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2" fillId="0" borderId="0" xfId="0" applyFont="1"/>
    <xf numFmtId="0" fontId="40" fillId="22" borderId="0" xfId="0" applyFont="1" applyFill="1"/>
    <xf numFmtId="0" fontId="40" fillId="18" borderId="1" xfId="0" applyFont="1" applyFill="1" applyBorder="1" applyAlignment="1">
      <alignment horizontal="left" vertical="center" wrapText="1"/>
    </xf>
    <xf numFmtId="0" fontId="41" fillId="19" borderId="1" xfId="0" applyFont="1" applyFill="1" applyBorder="1" applyAlignment="1">
      <alignment horizontal="left" vertical="center" wrapText="1"/>
    </xf>
    <xf numFmtId="0" fontId="41" fillId="20" borderId="1" xfId="0" applyFont="1" applyFill="1" applyBorder="1" applyAlignment="1">
      <alignment horizontal="left" vertical="center" wrapText="1"/>
    </xf>
    <xf numFmtId="0" fontId="41" fillId="21" borderId="1" xfId="0" applyFont="1" applyFill="1" applyBorder="1" applyAlignment="1">
      <alignment horizontal="left" vertical="center" wrapText="1"/>
    </xf>
    <xf numFmtId="0" fontId="42" fillId="0" borderId="1" xfId="0" applyFont="1" applyBorder="1" applyAlignment="1">
      <alignment horizontal="left" vertical="center" wrapText="1"/>
    </xf>
    <xf numFmtId="1" fontId="42" fillId="0" borderId="1" xfId="0" applyNumberFormat="1" applyFont="1" applyBorder="1" applyAlignment="1">
      <alignment horizontal="center"/>
    </xf>
    <xf numFmtId="0" fontId="43" fillId="23" borderId="0" xfId="0" applyFont="1" applyFill="1"/>
    <xf numFmtId="0" fontId="0" fillId="23" borderId="0" xfId="0" applyFill="1"/>
    <xf numFmtId="0" fontId="45" fillId="23" borderId="15" xfId="0" applyFont="1" applyFill="1" applyBorder="1" applyAlignment="1">
      <alignment horizontal="center" vertical="center" wrapText="1"/>
    </xf>
    <xf numFmtId="0" fontId="44" fillId="0" borderId="15" xfId="0" applyFont="1" applyBorder="1" applyAlignment="1">
      <alignment horizontal="left" vertical="top" wrapText="1"/>
    </xf>
    <xf numFmtId="0" fontId="44" fillId="0" borderId="15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22" fillId="11" borderId="1" xfId="0" applyFont="1" applyFill="1" applyBorder="1"/>
    <xf numFmtId="0" fontId="49" fillId="0" borderId="7" xfId="0" applyFont="1" applyBorder="1"/>
    <xf numFmtId="0" fontId="50" fillId="0" borderId="3" xfId="0" applyFont="1" applyBorder="1" applyAlignment="1">
      <alignment horizontal="center" vertical="center"/>
    </xf>
    <xf numFmtId="2" fontId="36" fillId="24" borderId="1" xfId="0" applyNumberFormat="1" applyFont="1" applyFill="1" applyBorder="1" applyAlignment="1">
      <alignment horizontal="center" vertical="center" wrapText="1"/>
    </xf>
    <xf numFmtId="2" fontId="18" fillId="24" borderId="1" xfId="0" applyNumberFormat="1" applyFont="1" applyFill="1" applyBorder="1" applyAlignment="1">
      <alignment horizontal="center" vertical="center" wrapText="1"/>
    </xf>
    <xf numFmtId="9" fontId="29" fillId="5" borderId="1" xfId="0" applyNumberFormat="1" applyFont="1" applyFill="1" applyBorder="1" applyAlignment="1">
      <alignment horizontal="center" vertical="center" wrapText="1"/>
    </xf>
    <xf numFmtId="9" fontId="29" fillId="11" borderId="1" xfId="0" applyNumberFormat="1" applyFont="1" applyFill="1" applyBorder="1" applyAlignment="1">
      <alignment horizontal="center" vertical="center" wrapText="1"/>
    </xf>
    <xf numFmtId="0" fontId="51" fillId="0" borderId="0" xfId="0" applyFont="1"/>
    <xf numFmtId="0" fontId="52" fillId="0" borderId="0" xfId="0" applyFont="1"/>
    <xf numFmtId="166" fontId="7" fillId="0" borderId="0" xfId="0" applyNumberFormat="1" applyFont="1" applyAlignment="1">
      <alignment horizontal="center" vertical="center"/>
    </xf>
    <xf numFmtId="0" fontId="46" fillId="27" borderId="0" xfId="0" applyFont="1" applyFill="1"/>
    <xf numFmtId="0" fontId="57" fillId="0" borderId="0" xfId="0" applyFont="1"/>
    <xf numFmtId="0" fontId="58" fillId="28" borderId="0" xfId="0" applyFont="1" applyFill="1"/>
    <xf numFmtId="2" fontId="58" fillId="28" borderId="0" xfId="0" applyNumberFormat="1" applyFont="1" applyFill="1"/>
    <xf numFmtId="2" fontId="46" fillId="27" borderId="0" xfId="0" applyNumberFormat="1" applyFont="1" applyFill="1"/>
    <xf numFmtId="0" fontId="59" fillId="29" borderId="0" xfId="0" applyFont="1" applyFill="1" applyAlignment="1">
      <alignment horizontal="center"/>
    </xf>
    <xf numFmtId="0" fontId="59" fillId="30" borderId="0" xfId="0" applyFont="1" applyFill="1" applyAlignment="1">
      <alignment horizontal="center"/>
    </xf>
    <xf numFmtId="0" fontId="59" fillId="31" borderId="0" xfId="0" applyFont="1" applyFill="1" applyAlignment="1">
      <alignment horizontal="center"/>
    </xf>
    <xf numFmtId="0" fontId="59" fillId="32" borderId="0" xfId="0" applyFont="1" applyFill="1" applyAlignment="1">
      <alignment horizontal="center"/>
    </xf>
    <xf numFmtId="0" fontId="59" fillId="25" borderId="0" xfId="0" applyFont="1" applyFill="1" applyAlignment="1">
      <alignment horizontal="center"/>
    </xf>
    <xf numFmtId="0" fontId="53" fillId="27" borderId="0" xfId="0" applyFont="1" applyFill="1"/>
    <xf numFmtId="10" fontId="18" fillId="27" borderId="1" xfId="0" applyNumberFormat="1" applyFont="1" applyFill="1" applyBorder="1" applyAlignment="1">
      <alignment horizontal="center" vertical="center" wrapText="1"/>
    </xf>
    <xf numFmtId="0" fontId="46" fillId="33" borderId="0" xfId="0" applyFont="1" applyFill="1"/>
    <xf numFmtId="0" fontId="60" fillId="34" borderId="0" xfId="0" applyFont="1" applyFill="1" applyAlignment="1">
      <alignment horizontal="center"/>
    </xf>
    <xf numFmtId="17" fontId="36" fillId="17" borderId="1" xfId="0" applyNumberFormat="1" applyFont="1" applyFill="1" applyBorder="1" applyAlignment="1">
      <alignment horizontal="center" vertical="center" wrapText="1"/>
    </xf>
    <xf numFmtId="166" fontId="36" fillId="17" borderId="1" xfId="0" applyNumberFormat="1" applyFont="1" applyFill="1" applyBorder="1" applyAlignment="1">
      <alignment horizontal="center" vertical="center" wrapText="1"/>
    </xf>
    <xf numFmtId="167" fontId="7" fillId="0" borderId="0" xfId="0" applyNumberFormat="1" applyFont="1" applyAlignment="1">
      <alignment horizontal="center" vertical="center"/>
    </xf>
    <xf numFmtId="0" fontId="46" fillId="0" borderId="0" xfId="0" applyFont="1"/>
    <xf numFmtId="0" fontId="46" fillId="36" borderId="0" xfId="0" applyFont="1" applyFill="1"/>
    <xf numFmtId="2" fontId="62" fillId="37" borderId="0" xfId="0" applyNumberFormat="1" applyFont="1" applyFill="1"/>
    <xf numFmtId="1" fontId="62" fillId="37" borderId="0" xfId="0" applyNumberFormat="1" applyFont="1" applyFill="1"/>
    <xf numFmtId="0" fontId="0" fillId="36" borderId="0" xfId="0" applyFill="1"/>
    <xf numFmtId="0" fontId="7" fillId="36" borderId="1" xfId="0" applyFont="1" applyFill="1" applyBorder="1" applyAlignment="1">
      <alignment horizontal="center" vertical="center" wrapText="1"/>
    </xf>
    <xf numFmtId="0" fontId="46" fillId="39" borderId="0" xfId="0" applyFont="1" applyFill="1"/>
    <xf numFmtId="0" fontId="62" fillId="40" borderId="0" xfId="0" applyFont="1" applyFill="1"/>
    <xf numFmtId="168" fontId="62" fillId="40" borderId="0" xfId="0" applyNumberFormat="1" applyFont="1" applyFill="1"/>
    <xf numFmtId="1" fontId="62" fillId="40" borderId="0" xfId="0" applyNumberFormat="1" applyFont="1" applyFill="1"/>
    <xf numFmtId="0" fontId="33" fillId="39" borderId="1" xfId="0" applyFont="1" applyFill="1" applyBorder="1"/>
    <xf numFmtId="0" fontId="24" fillId="39" borderId="1" xfId="0" applyFont="1" applyFill="1" applyBorder="1"/>
    <xf numFmtId="0" fontId="7" fillId="39" borderId="1" xfId="0" applyFont="1" applyFill="1" applyBorder="1" applyAlignment="1">
      <alignment horizontal="center" vertical="center" wrapText="1"/>
    </xf>
    <xf numFmtId="0" fontId="47" fillId="39" borderId="15" xfId="0" applyFont="1" applyFill="1" applyBorder="1" applyAlignment="1">
      <alignment horizontal="center" vertical="center" wrapText="1"/>
    </xf>
    <xf numFmtId="0" fontId="44" fillId="39" borderId="15" xfId="0" applyFont="1" applyFill="1" applyBorder="1" applyAlignment="1">
      <alignment horizontal="center" vertical="center" wrapText="1"/>
    </xf>
    <xf numFmtId="0" fontId="48" fillId="39" borderId="15" xfId="0" applyFont="1" applyFill="1" applyBorder="1" applyAlignment="1">
      <alignment horizontal="center" vertical="center" wrapText="1"/>
    </xf>
    <xf numFmtId="0" fontId="63" fillId="0" borderId="0" xfId="0" applyFont="1"/>
    <xf numFmtId="0" fontId="70" fillId="0" borderId="0" xfId="0" applyFont="1"/>
    <xf numFmtId="0" fontId="75" fillId="0" borderId="0" xfId="0" applyFont="1"/>
    <xf numFmtId="0" fontId="76" fillId="0" borderId="0" xfId="0" applyFont="1"/>
    <xf numFmtId="0" fontId="77" fillId="51" borderId="0" xfId="0" applyFont="1" applyFill="1"/>
    <xf numFmtId="1" fontId="77" fillId="51" borderId="0" xfId="0" applyNumberFormat="1" applyFont="1" applyFill="1"/>
    <xf numFmtId="2" fontId="77" fillId="51" borderId="0" xfId="0" applyNumberFormat="1" applyFont="1" applyFill="1"/>
    <xf numFmtId="1" fontId="58" fillId="28" borderId="0" xfId="0" applyNumberFormat="1" applyFont="1" applyFill="1"/>
    <xf numFmtId="169" fontId="38" fillId="0" borderId="1" xfId="0" applyNumberFormat="1" applyFont="1" applyBorder="1" applyAlignment="1">
      <alignment horizontal="left" vertical="center"/>
    </xf>
    <xf numFmtId="0" fontId="38" fillId="0" borderId="1" xfId="0" applyFont="1" applyBorder="1" applyAlignment="1">
      <alignment horizontal="left" vertical="center"/>
    </xf>
    <xf numFmtId="9" fontId="0" fillId="27" borderId="0" xfId="1" applyFont="1" applyFill="1"/>
    <xf numFmtId="10" fontId="0" fillId="27" borderId="0" xfId="1" applyNumberFormat="1" applyFont="1" applyFill="1"/>
    <xf numFmtId="10" fontId="46" fillId="27" borderId="0" xfId="1" applyNumberFormat="1" applyFont="1" applyFill="1"/>
    <xf numFmtId="0" fontId="80" fillId="0" borderId="0" xfId="0" applyFont="1" applyAlignment="1">
      <alignment horizontal="center" vertical="center"/>
    </xf>
    <xf numFmtId="0" fontId="82" fillId="2" borderId="0" xfId="0" applyFont="1" applyFill="1" applyAlignment="1">
      <alignment horizontal="left" vertical="center"/>
    </xf>
    <xf numFmtId="0" fontId="84" fillId="52" borderId="16" xfId="0" applyFont="1" applyFill="1" applyBorder="1" applyAlignment="1">
      <alignment horizontal="center" vertical="center" wrapText="1"/>
    </xf>
    <xf numFmtId="0" fontId="0" fillId="53" borderId="16" xfId="0" applyFill="1" applyBorder="1" applyAlignment="1">
      <alignment vertical="center" wrapText="1"/>
    </xf>
    <xf numFmtId="0" fontId="0" fillId="53" borderId="16" xfId="0" applyFill="1" applyBorder="1" applyAlignment="1">
      <alignment horizontal="center" vertical="center" wrapText="1"/>
    </xf>
    <xf numFmtId="0" fontId="27" fillId="0" borderId="0" xfId="0" applyFont="1"/>
    <xf numFmtId="0" fontId="0" fillId="0" borderId="0" xfId="0"/>
    <xf numFmtId="0" fontId="37" fillId="2" borderId="0" xfId="0" applyFont="1" applyFill="1" applyAlignment="1">
      <alignment horizontal="left" vertical="center" wrapText="1"/>
    </xf>
    <xf numFmtId="0" fontId="54" fillId="25" borderId="0" xfId="0" applyFont="1" applyFill="1"/>
    <xf numFmtId="0" fontId="68" fillId="0" borderId="0" xfId="0" applyFont="1" applyAlignment="1">
      <alignment vertical="top" wrapText="1"/>
    </xf>
    <xf numFmtId="0" fontId="46" fillId="0" borderId="0" xfId="0" applyFont="1"/>
    <xf numFmtId="0" fontId="69" fillId="44" borderId="0" xfId="0" applyFont="1" applyFill="1"/>
    <xf numFmtId="0" fontId="57" fillId="0" borderId="0" xfId="0" applyFont="1"/>
    <xf numFmtId="0" fontId="63" fillId="0" borderId="0" xfId="0" applyFont="1" applyAlignment="1">
      <alignment vertical="center" wrapText="1"/>
    </xf>
    <xf numFmtId="0" fontId="56" fillId="26" borderId="0" xfId="0" applyFont="1" applyFill="1"/>
    <xf numFmtId="0" fontId="73" fillId="0" borderId="0" xfId="0" applyFont="1" applyAlignment="1">
      <alignment vertical="top" wrapText="1"/>
    </xf>
    <xf numFmtId="0" fontId="66" fillId="45" borderId="0" xfId="0" applyFont="1" applyFill="1" applyAlignment="1">
      <alignment vertical="center" wrapText="1"/>
    </xf>
    <xf numFmtId="0" fontId="46" fillId="27" borderId="0" xfId="0" applyFont="1" applyFill="1"/>
    <xf numFmtId="0" fontId="72" fillId="49" borderId="0" xfId="0" applyFont="1" applyFill="1"/>
    <xf numFmtId="0" fontId="55" fillId="0" borderId="0" xfId="0" applyFont="1"/>
    <xf numFmtId="0" fontId="67" fillId="46" borderId="0" xfId="0" applyFont="1" applyFill="1"/>
    <xf numFmtId="0" fontId="65" fillId="0" borderId="0" xfId="0" applyFont="1" applyAlignment="1">
      <alignment vertical="center" wrapText="1"/>
    </xf>
    <xf numFmtId="0" fontId="74" fillId="50" borderId="0" xfId="0" applyFont="1" applyFill="1" applyAlignment="1">
      <alignment vertical="center" wrapText="1"/>
    </xf>
    <xf numFmtId="0" fontId="71" fillId="48" borderId="0" xfId="0" applyFont="1" applyFill="1" applyAlignment="1">
      <alignment vertical="center" wrapText="1"/>
    </xf>
    <xf numFmtId="0" fontId="66" fillId="42" borderId="0" xfId="0" applyFont="1" applyFill="1" applyAlignment="1">
      <alignment vertical="center" wrapText="1"/>
    </xf>
    <xf numFmtId="0" fontId="66" fillId="47" borderId="0" xfId="0" applyFont="1" applyFill="1" applyAlignment="1">
      <alignment vertical="center" wrapText="1"/>
    </xf>
    <xf numFmtId="0" fontId="67" fillId="43" borderId="0" xfId="0" applyFont="1" applyFill="1"/>
    <xf numFmtId="0" fontId="64" fillId="41" borderId="0" xfId="0" applyFont="1" applyFill="1" applyAlignment="1">
      <alignment vertical="center" wrapText="1"/>
    </xf>
    <xf numFmtId="0" fontId="77" fillId="51" borderId="0" xfId="0" applyFont="1" applyFill="1"/>
    <xf numFmtId="0" fontId="54" fillId="25" borderId="0" xfId="0" applyFont="1" applyFill="1" applyAlignment="1">
      <alignment vertical="center"/>
    </xf>
    <xf numFmtId="0" fontId="61" fillId="38" borderId="0" xfId="0" applyFont="1" applyFill="1"/>
    <xf numFmtId="0" fontId="78" fillId="51" borderId="0" xfId="0" applyFont="1" applyFill="1"/>
    <xf numFmtId="0" fontId="61" fillId="35" borderId="0" xfId="0" applyFont="1" applyFill="1"/>
    <xf numFmtId="0" fontId="85" fillId="53" borderId="16" xfId="0" applyFont="1" applyFill="1" applyBorder="1" applyAlignment="1">
      <alignment horizontal="center" vertical="center" wrapText="1"/>
    </xf>
    <xf numFmtId="0" fontId="83" fillId="11" borderId="2" xfId="0" applyFont="1" applyFill="1" applyBorder="1" applyAlignment="1">
      <alignment horizontal="left" vertical="top" wrapText="1"/>
    </xf>
    <xf numFmtId="0" fontId="0" fillId="0" borderId="6" xfId="0" applyBorder="1"/>
    <xf numFmtId="0" fontId="12" fillId="3" borderId="1" xfId="0" applyFont="1" applyFill="1" applyBorder="1" applyAlignment="1">
      <alignment horizontal="center" vertical="center" wrapText="1"/>
    </xf>
    <xf numFmtId="0" fontId="0" fillId="0" borderId="7" xfId="0" applyBorder="1"/>
    <xf numFmtId="0" fontId="7" fillId="5" borderId="2" xfId="0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left" vertical="top" wrapText="1"/>
    </xf>
    <xf numFmtId="0" fontId="28" fillId="2" borderId="2" xfId="0" applyFont="1" applyFill="1" applyBorder="1" applyAlignment="1">
      <alignment horizontal="left" vertical="center" wrapText="1"/>
    </xf>
    <xf numFmtId="0" fontId="28" fillId="2" borderId="6" xfId="0" applyFont="1" applyFill="1" applyBorder="1" applyAlignment="1">
      <alignment horizontal="left" vertical="center" wrapText="1"/>
    </xf>
    <xf numFmtId="0" fontId="28" fillId="2" borderId="10" xfId="0" applyFont="1" applyFill="1" applyBorder="1" applyAlignment="1">
      <alignment horizontal="left" vertical="center" wrapText="1"/>
    </xf>
    <xf numFmtId="0" fontId="28" fillId="2" borderId="11" xfId="0" applyFont="1" applyFill="1" applyBorder="1" applyAlignment="1">
      <alignment horizontal="left" vertical="center" wrapText="1"/>
    </xf>
    <xf numFmtId="0" fontId="28" fillId="2" borderId="1" xfId="0" applyFont="1" applyFill="1" applyBorder="1" applyAlignment="1">
      <alignment horizontal="left" vertical="center" wrapText="1"/>
    </xf>
    <xf numFmtId="0" fontId="7" fillId="36" borderId="3" xfId="0" applyFont="1" applyFill="1" applyBorder="1" applyAlignment="1">
      <alignment horizontal="left" vertical="center" wrapText="1"/>
    </xf>
    <xf numFmtId="0" fontId="0" fillId="0" borderId="13" xfId="0" applyBorder="1"/>
    <xf numFmtId="0" fontId="0" fillId="0" borderId="14" xfId="0" applyBorder="1"/>
    <xf numFmtId="0" fontId="31" fillId="0" borderId="0" xfId="0" applyFont="1"/>
    <xf numFmtId="0" fontId="19" fillId="3" borderId="1" xfId="0" applyFont="1" applyFill="1" applyBorder="1" applyAlignment="1">
      <alignment horizontal="center" vertical="center" wrapText="1"/>
    </xf>
    <xf numFmtId="0" fontId="30" fillId="0" borderId="0" xfId="0" applyFont="1"/>
    <xf numFmtId="0" fontId="16" fillId="39" borderId="2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horizontal="left" vertical="center" wrapText="1"/>
    </xf>
    <xf numFmtId="0" fontId="7" fillId="39" borderId="2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left" vertical="top" wrapText="1"/>
    </xf>
    <xf numFmtId="0" fontId="44" fillId="0" borderId="0" xfId="0" applyFont="1"/>
    <xf numFmtId="0" fontId="0" fillId="0" borderId="0" xfId="0" applyAlignment="1">
      <alignment vertical="top" wrapText="1"/>
    </xf>
    <xf numFmtId="0" fontId="46" fillId="39" borderId="0" xfId="0" applyFont="1" applyFill="1"/>
    <xf numFmtId="0" fontId="44" fillId="0" borderId="0" xfId="0" applyFont="1" applyAlignment="1">
      <alignment horizontal="left" vertical="top" wrapText="1"/>
    </xf>
    <xf numFmtId="0" fontId="19" fillId="4" borderId="0" xfId="0" applyFont="1" applyFill="1" applyAlignment="1">
      <alignment horizontal="center" vertical="center" wrapText="1"/>
    </xf>
    <xf numFmtId="0" fontId="83" fillId="5" borderId="2" xfId="0" applyFont="1" applyFill="1" applyBorder="1" applyAlignment="1">
      <alignment horizontal="left" vertical="top" wrapText="1"/>
    </xf>
    <xf numFmtId="0" fontId="30" fillId="0" borderId="0" xfId="0" applyFont="1" applyAlignment="1">
      <alignment vertical="top" wrapText="1"/>
    </xf>
    <xf numFmtId="0" fontId="32" fillId="0" borderId="0" xfId="0" applyFont="1"/>
    <xf numFmtId="0" fontId="34" fillId="0" borderId="0" xfId="0" applyFont="1"/>
    <xf numFmtId="0" fontId="16" fillId="5" borderId="2" xfId="0" applyFont="1" applyFill="1" applyBorder="1" applyAlignment="1">
      <alignment horizontal="left" vertical="top" wrapText="1"/>
    </xf>
    <xf numFmtId="0" fontId="16" fillId="11" borderId="1" xfId="0" applyFont="1" applyFill="1" applyBorder="1" applyAlignment="1">
      <alignment horizontal="left" vertical="center" wrapText="1"/>
    </xf>
    <xf numFmtId="0" fontId="25" fillId="5" borderId="1" xfId="0" applyFont="1" applyFill="1" applyBorder="1" applyAlignment="1">
      <alignment horizontal="left" vertical="top" wrapText="1"/>
    </xf>
    <xf numFmtId="0" fontId="16" fillId="5" borderId="1" xfId="0" applyFont="1" applyFill="1" applyBorder="1" applyAlignment="1">
      <alignment horizontal="center" vertical="center" wrapText="1"/>
    </xf>
    <xf numFmtId="10" fontId="8" fillId="5" borderId="7" xfId="0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11" xfId="0" applyBorder="1"/>
    <xf numFmtId="0" fontId="0" fillId="0" borderId="12" xfId="0" applyBorder="1"/>
    <xf numFmtId="1" fontId="18" fillId="9" borderId="1" xfId="0" applyNumberFormat="1" applyFont="1" applyFill="1" applyBorder="1" applyAlignment="1">
      <alignment horizontal="center" vertical="center" wrapText="1"/>
    </xf>
    <xf numFmtId="10" fontId="24" fillId="11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1" fontId="18" fillId="11" borderId="1" xfId="0" applyNumberFormat="1" applyFont="1" applyFill="1" applyBorder="1" applyAlignment="1">
      <alignment horizontal="center" vertical="center" wrapText="1"/>
    </xf>
    <xf numFmtId="165" fontId="15" fillId="5" borderId="1" xfId="0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16" fillId="15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7" fillId="5" borderId="2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10" fontId="17" fillId="5" borderId="1" xfId="0" applyNumberFormat="1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2" fontId="15" fillId="5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17" fillId="5" borderId="1" xfId="0" applyNumberFormat="1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left" vertical="top" wrapText="1"/>
    </xf>
    <xf numFmtId="1" fontId="18" fillId="13" borderId="1" xfId="0" applyNumberFormat="1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" fontId="23" fillId="5" borderId="1" xfId="0" applyNumberFormat="1" applyFont="1" applyFill="1" applyBorder="1" applyAlignment="1">
      <alignment horizontal="center" vertical="center" wrapText="1"/>
    </xf>
    <xf numFmtId="14" fontId="24" fillId="5" borderId="1" xfId="0" applyNumberFormat="1" applyFont="1" applyFill="1" applyBorder="1" applyAlignment="1">
      <alignment horizontal="center" vertical="center" wrapText="1"/>
    </xf>
    <xf numFmtId="2" fontId="24" fillId="5" borderId="1" xfId="0" applyNumberFormat="1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 wrapText="1"/>
    </xf>
    <xf numFmtId="1" fontId="18" fillId="12" borderId="1" xfId="0" applyNumberFormat="1" applyFont="1" applyFill="1" applyBorder="1" applyAlignment="1">
      <alignment horizontal="center" vertical="center" wrapText="1"/>
    </xf>
    <xf numFmtId="1" fontId="18" fillId="14" borderId="1" xfId="0" applyNumberFormat="1" applyFont="1" applyFill="1" applyBorder="1" applyAlignment="1">
      <alignment horizontal="center" vertical="center" wrapText="1"/>
    </xf>
    <xf numFmtId="10" fontId="24" fillId="5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/>
    </xf>
    <xf numFmtId="0" fontId="26" fillId="0" borderId="0" xfId="0" applyFont="1"/>
    <xf numFmtId="0" fontId="7" fillId="0" borderId="1" xfId="0" applyFont="1" applyBorder="1" applyAlignment="1">
      <alignment horizontal="left" vertical="top" wrapText="1"/>
    </xf>
    <xf numFmtId="0" fontId="39" fillId="3" borderId="0" xfId="0" applyFont="1" applyFill="1"/>
    <xf numFmtId="0" fontId="32" fillId="0" borderId="0" xfId="0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18"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FFFF"/>
      </font>
      <fill>
        <patternFill>
          <bgColor rgb="FFE06666"/>
        </patternFill>
      </fill>
    </dxf>
    <dxf>
      <font>
        <b/>
        <color rgb="FF1B2430"/>
      </font>
      <fill>
        <patternFill>
          <bgColor rgb="FFFFD966"/>
        </patternFill>
      </fill>
    </dxf>
    <dxf>
      <fill>
        <patternFill>
          <bgColor rgb="FFF1A9A0"/>
        </patternFill>
      </fill>
    </dxf>
    <dxf>
      <fill>
        <patternFill>
          <bgColor rgb="FFF5B27A"/>
        </patternFill>
      </fill>
    </dxf>
    <dxf>
      <fill>
        <patternFill>
          <bgColor rgb="FFFCE29B"/>
        </patternFill>
      </fill>
    </dxf>
    <dxf>
      <fill>
        <patternFill>
          <bgColor rgb="FFC9E4A6"/>
        </patternFill>
      </fill>
    </dxf>
    <dxf>
      <fill>
        <patternFill>
          <bgColor rgb="FFA9D18E"/>
        </patternFill>
      </fill>
    </dxf>
    <dxf>
      <font>
        <b/>
        <color rgb="FFFFFFFF"/>
      </font>
      <fill>
        <patternFill>
          <bgColor rgb="FF538135"/>
        </patternFill>
      </fill>
    </dxf>
    <dxf>
      <fill>
        <patternFill>
          <bgColor rgb="FFF1A9A0"/>
        </patternFill>
      </fill>
    </dxf>
    <dxf>
      <fill>
        <patternFill>
          <bgColor rgb="FFF5B27A"/>
        </patternFill>
      </fill>
    </dxf>
    <dxf>
      <fill>
        <patternFill>
          <bgColor rgb="FFFCE29B"/>
        </patternFill>
      </fill>
    </dxf>
    <dxf>
      <fill>
        <patternFill>
          <bgColor rgb="FFA9D18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D966"/>
      <rgbColor rgb="FFFF00FF"/>
      <rgbColor rgb="FF00FFFF"/>
      <rgbColor rgb="FF800000"/>
      <rgbColor rgb="FF008000"/>
      <rgbColor rgb="FF000080"/>
      <rgbColor rgb="FF55606E"/>
      <rgbColor rgb="FF800080"/>
      <rgbColor rgb="FF008080"/>
      <rgbColor rgb="FFB9C2CE"/>
      <rgbColor rgb="FF7C8CA6"/>
      <rgbColor rgb="FF9999FF"/>
      <rgbColor rgb="FF475269"/>
      <rgbColor rgb="FFF2F4F7"/>
      <rgbColor rgb="FFFFE3CC"/>
      <rgbColor rgb="FF660066"/>
      <rgbColor rgb="FFE06666"/>
      <rgbColor rgb="FF0066CC"/>
      <rgbColor rgb="FFD5DB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9E4A6"/>
      <rgbColor rgb="FFFFF2A0"/>
      <rgbColor rgb="FFA9D18E"/>
      <rgbColor rgb="FFF1A9A0"/>
      <rgbColor rgb="FFF4B183"/>
      <rgbColor rgb="FFFCE29B"/>
      <rgbColor rgb="FF3366FF"/>
      <rgbColor rgb="FF33CCCC"/>
      <rgbColor rgb="FF99CC00"/>
      <rgbColor rgb="FFF2C230"/>
      <rgbColor rgb="FFF5B27A"/>
      <rgbColor rgb="FFFF6A13"/>
      <rgbColor rgb="FF5B6B84"/>
      <rgbColor rgb="FF969696"/>
      <rgbColor rgb="FF12294D"/>
      <rgbColor rgb="FF538135"/>
      <rgbColor rgb="FF0C2038"/>
      <rgbColor rgb="FF0B1F3A"/>
      <rgbColor rgb="FFC0392B"/>
      <rgbColor rgb="FF993366"/>
      <rgbColor rgb="FF1B3A63"/>
      <rgbColor rgb="FF1B24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arhan Jezando W" id="{9280BA19-6215-4F67-86F4-97490F44FEF7}" userId="S::ipanjez@365mic.onmicrosoft.com::4bd77a0b-c445-4981-b074-83875b9a096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5" dT="2026-07-23T23:55:19.60" personId="{9280BA19-6215-4F67-86F4-97490F44FEF7}" id="{2B3C1898-793A-44C4-8571-254ED6A706E4}">
    <text>To Be Discussed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9"/>
  <sheetViews>
    <sheetView workbookViewId="0">
      <selection activeCell="C44" sqref="C44:D44"/>
    </sheetView>
  </sheetViews>
  <sheetFormatPr defaultRowHeight="14.25" x14ac:dyDescent="0.45"/>
  <cols>
    <col min="1" max="1" width="28" customWidth="1"/>
    <col min="2" max="2" width="10" customWidth="1"/>
    <col min="3" max="4" width="22" customWidth="1"/>
    <col min="5" max="8" width="16" customWidth="1"/>
  </cols>
  <sheetData>
    <row r="1" spans="1:8" ht="18" customHeight="1" x14ac:dyDescent="0.55000000000000004">
      <c r="A1" s="149" t="s">
        <v>84</v>
      </c>
      <c r="B1" s="147"/>
      <c r="C1" s="147"/>
      <c r="D1" s="147"/>
      <c r="E1" s="147"/>
      <c r="F1" s="147"/>
      <c r="G1" s="147"/>
      <c r="H1" s="147"/>
    </row>
    <row r="2" spans="1:8" x14ac:dyDescent="0.45">
      <c r="A2" s="160" t="s">
        <v>85</v>
      </c>
      <c r="B2" s="147"/>
      <c r="C2" s="147"/>
      <c r="D2" s="147"/>
      <c r="E2" s="147"/>
      <c r="F2" s="147"/>
      <c r="G2" s="147"/>
      <c r="H2" s="147"/>
    </row>
    <row r="4" spans="1:8" ht="15.75" customHeight="1" x14ac:dyDescent="0.5">
      <c r="A4" s="155" t="s">
        <v>86</v>
      </c>
      <c r="B4" s="147"/>
      <c r="C4" s="147"/>
      <c r="D4" s="147"/>
      <c r="E4" s="147"/>
      <c r="F4" s="147"/>
      <c r="G4" s="147"/>
      <c r="H4" s="147"/>
    </row>
    <row r="5" spans="1:8" x14ac:dyDescent="0.45">
      <c r="A5" s="153" t="s">
        <v>87</v>
      </c>
      <c r="B5" s="147"/>
      <c r="C5" s="147"/>
      <c r="D5" s="147"/>
      <c r="E5" s="147"/>
      <c r="F5" s="147"/>
      <c r="G5" s="147"/>
      <c r="H5" s="147"/>
    </row>
    <row r="6" spans="1:8" x14ac:dyDescent="0.45">
      <c r="A6" s="153" t="s">
        <v>88</v>
      </c>
      <c r="B6" s="147"/>
      <c r="C6" s="147"/>
      <c r="D6" s="147"/>
      <c r="E6" s="147"/>
      <c r="F6" s="147"/>
      <c r="G6" s="147"/>
      <c r="H6" s="147"/>
    </row>
    <row r="7" spans="1:8" x14ac:dyDescent="0.45">
      <c r="A7" s="153" t="s">
        <v>89</v>
      </c>
      <c r="B7" s="147"/>
      <c r="C7" s="147"/>
      <c r="D7" s="147"/>
      <c r="E7" s="147"/>
      <c r="F7" s="147"/>
      <c r="G7" s="147"/>
      <c r="H7" s="147"/>
    </row>
    <row r="8" spans="1:8" x14ac:dyDescent="0.45">
      <c r="A8" s="153" t="s">
        <v>90</v>
      </c>
      <c r="B8" s="147"/>
      <c r="C8" s="147"/>
      <c r="D8" s="147"/>
      <c r="E8" s="147"/>
      <c r="F8" s="147"/>
      <c r="G8" s="147"/>
      <c r="H8" s="147"/>
    </row>
    <row r="9" spans="1:8" x14ac:dyDescent="0.45">
      <c r="A9" s="153" t="s">
        <v>91</v>
      </c>
      <c r="B9" s="147"/>
      <c r="C9" s="147"/>
      <c r="D9" s="147"/>
      <c r="E9" s="147"/>
      <c r="F9" s="147"/>
      <c r="G9" s="147"/>
      <c r="H9" s="147"/>
    </row>
    <row r="10" spans="1:8" x14ac:dyDescent="0.45">
      <c r="A10" s="153" t="s">
        <v>92</v>
      </c>
      <c r="B10" s="147"/>
      <c r="C10" s="147"/>
      <c r="D10" s="147"/>
      <c r="E10" s="147"/>
      <c r="F10" s="147"/>
      <c r="G10" s="147"/>
      <c r="H10" s="147"/>
    </row>
    <row r="12" spans="1:8" ht="15.75" customHeight="1" x14ac:dyDescent="0.5">
      <c r="A12" s="155" t="s">
        <v>93</v>
      </c>
      <c r="B12" s="147"/>
      <c r="C12" s="147"/>
      <c r="D12" s="147"/>
      <c r="E12" s="147"/>
      <c r="F12" s="147"/>
      <c r="G12" s="147"/>
      <c r="H12" s="147"/>
    </row>
    <row r="13" spans="1:8" x14ac:dyDescent="0.45">
      <c r="A13" s="158" t="s">
        <v>94</v>
      </c>
      <c r="B13" s="147"/>
      <c r="C13" s="158" t="s">
        <v>95</v>
      </c>
      <c r="D13" s="147"/>
      <c r="E13" s="147"/>
      <c r="F13" s="158" t="s">
        <v>96</v>
      </c>
      <c r="G13" s="147"/>
      <c r="H13" s="147"/>
    </row>
    <row r="14" spans="1:8" x14ac:dyDescent="0.45">
      <c r="A14" s="151" t="s">
        <v>97</v>
      </c>
      <c r="B14" s="147"/>
      <c r="C14" s="153" t="s">
        <v>98</v>
      </c>
      <c r="D14" s="147"/>
      <c r="E14" s="147"/>
      <c r="F14" s="153" t="s">
        <v>99</v>
      </c>
      <c r="G14" s="147"/>
      <c r="H14" s="147"/>
    </row>
    <row r="15" spans="1:8" x14ac:dyDescent="0.45">
      <c r="A15" s="151" t="s">
        <v>100</v>
      </c>
      <c r="B15" s="147"/>
      <c r="C15" s="153" t="s">
        <v>101</v>
      </c>
      <c r="D15" s="147"/>
      <c r="E15" s="147"/>
      <c r="F15" s="153" t="s">
        <v>102</v>
      </c>
      <c r="G15" s="147"/>
      <c r="H15" s="147"/>
    </row>
    <row r="16" spans="1:8" x14ac:dyDescent="0.45">
      <c r="A16" s="151" t="s">
        <v>103</v>
      </c>
      <c r="B16" s="147"/>
      <c r="C16" s="153" t="s">
        <v>104</v>
      </c>
      <c r="D16" s="147"/>
      <c r="E16" s="147"/>
      <c r="F16" s="153" t="s">
        <v>105</v>
      </c>
      <c r="G16" s="147"/>
      <c r="H16" s="147"/>
    </row>
    <row r="17" spans="1:8" x14ac:dyDescent="0.45">
      <c r="A17" s="151" t="s">
        <v>106</v>
      </c>
      <c r="B17" s="147"/>
      <c r="C17" s="153" t="s">
        <v>107</v>
      </c>
      <c r="D17" s="147"/>
      <c r="E17" s="147"/>
      <c r="F17" s="153" t="s">
        <v>108</v>
      </c>
      <c r="G17" s="147"/>
      <c r="H17" s="147"/>
    </row>
    <row r="18" spans="1:8" x14ac:dyDescent="0.45">
      <c r="A18" s="151" t="s">
        <v>109</v>
      </c>
      <c r="B18" s="147"/>
      <c r="C18" s="153" t="s">
        <v>110</v>
      </c>
      <c r="D18" s="147"/>
      <c r="E18" s="147"/>
      <c r="F18" s="153" t="s">
        <v>108</v>
      </c>
      <c r="G18" s="147"/>
      <c r="H18" s="147"/>
    </row>
    <row r="19" spans="1:8" x14ac:dyDescent="0.45">
      <c r="A19" s="151" t="s">
        <v>111</v>
      </c>
      <c r="B19" s="147"/>
      <c r="C19" s="153" t="s">
        <v>112</v>
      </c>
      <c r="D19" s="147"/>
      <c r="E19" s="147"/>
      <c r="F19" s="153" t="s">
        <v>113</v>
      </c>
      <c r="G19" s="147"/>
      <c r="H19" s="147"/>
    </row>
    <row r="21" spans="1:8" ht="15.75" customHeight="1" x14ac:dyDescent="0.5">
      <c r="A21" s="155" t="s">
        <v>114</v>
      </c>
      <c r="B21" s="147"/>
      <c r="C21" s="147"/>
      <c r="D21" s="147"/>
      <c r="E21" s="147"/>
      <c r="F21" s="147"/>
      <c r="G21" s="147"/>
      <c r="H21" s="147"/>
    </row>
    <row r="22" spans="1:8" x14ac:dyDescent="0.45">
      <c r="A22" s="97" t="s">
        <v>115</v>
      </c>
      <c r="B22" s="153" t="s">
        <v>116</v>
      </c>
      <c r="C22" s="147"/>
      <c r="D22" s="147"/>
      <c r="E22" s="147"/>
      <c r="F22" s="147"/>
      <c r="G22" s="147"/>
      <c r="H22" s="147"/>
    </row>
    <row r="23" spans="1:8" x14ac:dyDescent="0.45">
      <c r="A23" s="95" t="s">
        <v>117</v>
      </c>
      <c r="B23" s="153" t="s">
        <v>118</v>
      </c>
      <c r="C23" s="147"/>
      <c r="D23" s="147"/>
      <c r="E23" s="147"/>
      <c r="F23" s="147"/>
      <c r="G23" s="147"/>
      <c r="H23" s="147"/>
    </row>
    <row r="26" spans="1:8" ht="15.75" customHeight="1" x14ac:dyDescent="0.45">
      <c r="A26" s="168" t="s">
        <v>119</v>
      </c>
      <c r="B26" s="147"/>
      <c r="C26" s="147"/>
      <c r="D26" s="147"/>
      <c r="E26" s="147"/>
      <c r="F26" s="147"/>
      <c r="G26" s="147"/>
      <c r="H26" s="147"/>
    </row>
    <row r="27" spans="1:8" x14ac:dyDescent="0.45">
      <c r="A27" s="162" t="s">
        <v>120</v>
      </c>
      <c r="B27" s="147"/>
      <c r="C27" s="147"/>
      <c r="D27" s="147"/>
      <c r="E27" s="147"/>
      <c r="F27" s="147"/>
      <c r="G27" s="147"/>
      <c r="H27" s="147"/>
    </row>
    <row r="28" spans="1:8" x14ac:dyDescent="0.45">
      <c r="A28" s="128"/>
      <c r="B28" s="128"/>
      <c r="C28" s="128"/>
      <c r="D28" s="128"/>
      <c r="E28" s="128"/>
      <c r="F28" s="128"/>
      <c r="G28" s="128"/>
      <c r="H28" s="128"/>
    </row>
    <row r="29" spans="1:8" x14ac:dyDescent="0.45">
      <c r="A29" s="165" t="s">
        <v>121</v>
      </c>
      <c r="B29" s="147"/>
      <c r="C29" s="147"/>
      <c r="D29" s="147"/>
      <c r="E29" s="147"/>
      <c r="F29" s="147"/>
      <c r="G29" s="147"/>
      <c r="H29" s="147"/>
    </row>
    <row r="30" spans="1:8" x14ac:dyDescent="0.45">
      <c r="A30" s="112" t="s">
        <v>122</v>
      </c>
      <c r="B30" s="128"/>
      <c r="C30" s="167" t="s">
        <v>123</v>
      </c>
      <c r="D30" s="147"/>
      <c r="E30" s="128"/>
      <c r="F30" s="128"/>
      <c r="G30" s="128"/>
      <c r="H30" s="128"/>
    </row>
    <row r="31" spans="1:8" ht="15" customHeight="1" x14ac:dyDescent="0.45">
      <c r="A31" s="128"/>
      <c r="B31" s="150" t="s">
        <v>124</v>
      </c>
      <c r="C31" s="147"/>
      <c r="D31" s="147"/>
      <c r="E31" s="147"/>
      <c r="F31" s="147"/>
      <c r="G31" s="147"/>
      <c r="H31" s="147"/>
    </row>
    <row r="32" spans="1:8" ht="15" customHeight="1" x14ac:dyDescent="0.45">
      <c r="A32" s="128"/>
      <c r="B32" s="150" t="s">
        <v>125</v>
      </c>
      <c r="C32" s="147"/>
      <c r="D32" s="147"/>
      <c r="E32" s="147"/>
      <c r="F32" s="147"/>
      <c r="G32" s="147"/>
      <c r="H32" s="147"/>
    </row>
    <row r="33" spans="1:8" ht="30" customHeight="1" x14ac:dyDescent="0.45">
      <c r="A33" s="128"/>
      <c r="B33" s="150" t="s">
        <v>126</v>
      </c>
      <c r="C33" s="147"/>
      <c r="D33" s="147"/>
      <c r="E33" s="147"/>
      <c r="F33" s="147"/>
      <c r="G33" s="147"/>
      <c r="H33" s="147"/>
    </row>
    <row r="34" spans="1:8" ht="15" customHeight="1" x14ac:dyDescent="0.45">
      <c r="A34" s="128"/>
      <c r="B34" s="150" t="s">
        <v>127</v>
      </c>
      <c r="C34" s="147"/>
      <c r="D34" s="147"/>
      <c r="E34" s="147"/>
      <c r="F34" s="147"/>
      <c r="G34" s="147"/>
      <c r="H34" s="147"/>
    </row>
    <row r="35" spans="1:8" ht="30" customHeight="1" x14ac:dyDescent="0.45">
      <c r="A35" s="128"/>
      <c r="B35" s="150" t="s">
        <v>128</v>
      </c>
      <c r="C35" s="147"/>
      <c r="D35" s="147"/>
      <c r="E35" s="147"/>
      <c r="F35" s="147"/>
      <c r="G35" s="147"/>
      <c r="H35" s="147"/>
    </row>
    <row r="36" spans="1:8" x14ac:dyDescent="0.45">
      <c r="A36" s="112" t="s">
        <v>129</v>
      </c>
      <c r="B36" s="128"/>
      <c r="C36" s="152" t="s">
        <v>130</v>
      </c>
      <c r="D36" s="147"/>
      <c r="E36" s="128"/>
      <c r="F36" s="128"/>
      <c r="G36" s="128"/>
      <c r="H36" s="128"/>
    </row>
    <row r="37" spans="1:8" ht="15" customHeight="1" x14ac:dyDescent="0.45">
      <c r="A37" s="128"/>
      <c r="B37" s="150" t="s">
        <v>131</v>
      </c>
      <c r="C37" s="147"/>
      <c r="D37" s="147"/>
      <c r="E37" s="147"/>
      <c r="F37" s="147"/>
      <c r="G37" s="147"/>
      <c r="H37" s="147"/>
    </row>
    <row r="38" spans="1:8" x14ac:dyDescent="0.45">
      <c r="A38" s="112" t="s">
        <v>132</v>
      </c>
      <c r="B38" s="128"/>
      <c r="C38" s="152" t="s">
        <v>130</v>
      </c>
      <c r="D38" s="147"/>
      <c r="E38" s="128"/>
      <c r="F38" s="128"/>
      <c r="G38" s="128"/>
      <c r="H38" s="128"/>
    </row>
    <row r="39" spans="1:8" ht="15" customHeight="1" x14ac:dyDescent="0.45">
      <c r="A39" s="128"/>
      <c r="B39" s="150" t="s">
        <v>133</v>
      </c>
      <c r="C39" s="147"/>
      <c r="D39" s="147"/>
      <c r="E39" s="147"/>
      <c r="F39" s="147"/>
      <c r="G39" s="147"/>
      <c r="H39" s="147"/>
    </row>
    <row r="40" spans="1:8" x14ac:dyDescent="0.45">
      <c r="A40" s="112" t="s">
        <v>134</v>
      </c>
      <c r="B40" s="128"/>
      <c r="C40" s="152" t="s">
        <v>135</v>
      </c>
      <c r="D40" s="147"/>
      <c r="E40" s="128"/>
      <c r="F40" s="128"/>
      <c r="G40" s="128"/>
      <c r="H40" s="128"/>
    </row>
    <row r="41" spans="1:8" ht="15" customHeight="1" x14ac:dyDescent="0.45">
      <c r="A41" s="128"/>
      <c r="B41" s="150" t="s">
        <v>136</v>
      </c>
      <c r="C41" s="147"/>
      <c r="D41" s="147"/>
      <c r="E41" s="147"/>
      <c r="F41" s="147"/>
      <c r="G41" s="147"/>
      <c r="H41" s="147"/>
    </row>
    <row r="42" spans="1:8" ht="15.75" customHeight="1" x14ac:dyDescent="0.45">
      <c r="A42" s="128"/>
      <c r="B42" s="128"/>
      <c r="C42" s="128"/>
      <c r="D42" s="128"/>
      <c r="E42" s="128"/>
      <c r="F42" s="128"/>
      <c r="G42" s="128"/>
      <c r="H42" s="128"/>
    </row>
    <row r="43" spans="1:8" x14ac:dyDescent="0.45">
      <c r="A43" s="157" t="s">
        <v>137</v>
      </c>
      <c r="B43" s="147"/>
      <c r="C43" s="147"/>
      <c r="D43" s="147"/>
      <c r="E43" s="147"/>
      <c r="F43" s="147"/>
      <c r="G43" s="147"/>
      <c r="H43" s="147"/>
    </row>
    <row r="44" spans="1:8" x14ac:dyDescent="0.45">
      <c r="A44" s="112" t="s">
        <v>122</v>
      </c>
      <c r="B44" s="128"/>
      <c r="C44" s="167" t="s">
        <v>138</v>
      </c>
      <c r="D44" s="147"/>
      <c r="E44" s="128"/>
      <c r="F44" s="128"/>
      <c r="G44" s="128"/>
      <c r="H44" s="128"/>
    </row>
    <row r="45" spans="1:8" ht="15" customHeight="1" x14ac:dyDescent="0.45">
      <c r="A45" s="128"/>
      <c r="B45" s="150" t="s">
        <v>139</v>
      </c>
      <c r="C45" s="147"/>
      <c r="D45" s="147"/>
      <c r="E45" s="147"/>
      <c r="F45" s="147"/>
      <c r="G45" s="147"/>
      <c r="H45" s="147"/>
    </row>
    <row r="46" spans="1:8" ht="15" customHeight="1" x14ac:dyDescent="0.45">
      <c r="A46" s="128"/>
      <c r="B46" s="150" t="s">
        <v>125</v>
      </c>
      <c r="C46" s="147"/>
      <c r="D46" s="147"/>
      <c r="E46" s="147"/>
      <c r="F46" s="147"/>
      <c r="G46" s="147"/>
      <c r="H46" s="147"/>
    </row>
    <row r="47" spans="1:8" ht="15" customHeight="1" x14ac:dyDescent="0.45">
      <c r="A47" s="128"/>
      <c r="B47" s="150" t="s">
        <v>140</v>
      </c>
      <c r="C47" s="147"/>
      <c r="D47" s="147"/>
      <c r="E47" s="147"/>
      <c r="F47" s="147"/>
      <c r="G47" s="147"/>
      <c r="H47" s="147"/>
    </row>
    <row r="48" spans="1:8" ht="30" customHeight="1" x14ac:dyDescent="0.45">
      <c r="A48" s="128"/>
      <c r="B48" s="150" t="s">
        <v>141</v>
      </c>
      <c r="C48" s="147"/>
      <c r="D48" s="147"/>
      <c r="E48" s="147"/>
      <c r="F48" s="147"/>
      <c r="G48" s="147"/>
      <c r="H48" s="147"/>
    </row>
    <row r="49" spans="1:8" x14ac:dyDescent="0.45">
      <c r="A49" s="112" t="s">
        <v>142</v>
      </c>
      <c r="B49" s="128"/>
      <c r="C49" s="161" t="s">
        <v>143</v>
      </c>
      <c r="D49" s="147"/>
      <c r="E49" s="128"/>
      <c r="F49" s="128"/>
      <c r="G49" s="128"/>
      <c r="H49" s="128"/>
    </row>
    <row r="50" spans="1:8" ht="15" customHeight="1" x14ac:dyDescent="0.45">
      <c r="A50" s="128"/>
      <c r="B50" s="150" t="s">
        <v>144</v>
      </c>
      <c r="C50" s="147"/>
      <c r="D50" s="147"/>
      <c r="E50" s="147"/>
      <c r="F50" s="147"/>
      <c r="G50" s="147"/>
      <c r="H50" s="147"/>
    </row>
    <row r="51" spans="1:8" ht="15" customHeight="1" x14ac:dyDescent="0.45">
      <c r="A51" s="128"/>
      <c r="B51" s="150" t="s">
        <v>145</v>
      </c>
      <c r="C51" s="147"/>
      <c r="D51" s="147"/>
      <c r="E51" s="147"/>
      <c r="F51" s="147"/>
      <c r="G51" s="147"/>
      <c r="H51" s="147"/>
    </row>
    <row r="52" spans="1:8" ht="30" customHeight="1" x14ac:dyDescent="0.45">
      <c r="A52" s="128"/>
      <c r="B52" s="150" t="s">
        <v>146</v>
      </c>
      <c r="C52" s="147"/>
      <c r="D52" s="147"/>
      <c r="E52" s="147"/>
      <c r="F52" s="147"/>
      <c r="G52" s="147"/>
      <c r="H52" s="147"/>
    </row>
    <row r="53" spans="1:8" x14ac:dyDescent="0.45">
      <c r="A53" s="112" t="s">
        <v>129</v>
      </c>
      <c r="B53" s="128"/>
      <c r="C53" s="152" t="s">
        <v>130</v>
      </c>
      <c r="D53" s="147"/>
      <c r="E53" s="128"/>
      <c r="F53" s="128"/>
      <c r="G53" s="128"/>
      <c r="H53" s="128"/>
    </row>
    <row r="54" spans="1:8" ht="15" customHeight="1" x14ac:dyDescent="0.45">
      <c r="A54" s="128"/>
      <c r="B54" s="150" t="s">
        <v>147</v>
      </c>
      <c r="C54" s="147"/>
      <c r="D54" s="147"/>
      <c r="E54" s="147"/>
      <c r="F54" s="147"/>
      <c r="G54" s="147"/>
      <c r="H54" s="147"/>
    </row>
    <row r="55" spans="1:8" x14ac:dyDescent="0.45">
      <c r="A55" s="112" t="s">
        <v>134</v>
      </c>
      <c r="B55" s="128"/>
      <c r="C55" s="152" t="s">
        <v>135</v>
      </c>
      <c r="D55" s="147"/>
      <c r="E55" s="128"/>
      <c r="F55" s="128"/>
      <c r="G55" s="128"/>
      <c r="H55" s="128"/>
    </row>
    <row r="56" spans="1:8" ht="15" customHeight="1" x14ac:dyDescent="0.45">
      <c r="A56" s="128"/>
      <c r="B56" s="150" t="s">
        <v>148</v>
      </c>
      <c r="C56" s="147"/>
      <c r="D56" s="147"/>
      <c r="E56" s="147"/>
      <c r="F56" s="147"/>
      <c r="G56" s="147"/>
      <c r="H56" s="147"/>
    </row>
    <row r="57" spans="1:8" x14ac:dyDescent="0.45">
      <c r="A57" s="128"/>
      <c r="B57" s="128"/>
      <c r="C57" s="128"/>
      <c r="D57" s="128"/>
      <c r="E57" s="128"/>
      <c r="F57" s="128"/>
      <c r="G57" s="128"/>
      <c r="H57" s="128"/>
    </row>
    <row r="58" spans="1:8" x14ac:dyDescent="0.45">
      <c r="A58" s="166" t="s">
        <v>149</v>
      </c>
      <c r="B58" s="147"/>
      <c r="C58" s="147"/>
      <c r="D58" s="147"/>
      <c r="E58" s="147"/>
      <c r="F58" s="147"/>
      <c r="G58" s="147"/>
      <c r="H58" s="147"/>
    </row>
    <row r="59" spans="1:8" x14ac:dyDescent="0.45">
      <c r="A59" s="112" t="s">
        <v>142</v>
      </c>
      <c r="B59" s="128"/>
      <c r="C59" s="167" t="s">
        <v>150</v>
      </c>
      <c r="D59" s="147"/>
      <c r="E59" s="128"/>
      <c r="F59" s="128"/>
      <c r="G59" s="128"/>
      <c r="H59" s="128"/>
    </row>
    <row r="60" spans="1:8" ht="15" customHeight="1" x14ac:dyDescent="0.45">
      <c r="A60" s="128"/>
      <c r="B60" s="150" t="s">
        <v>151</v>
      </c>
      <c r="C60" s="147"/>
      <c r="D60" s="147"/>
      <c r="E60" s="147"/>
      <c r="F60" s="147"/>
      <c r="G60" s="147"/>
      <c r="H60" s="147"/>
    </row>
    <row r="61" spans="1:8" ht="15" customHeight="1" x14ac:dyDescent="0.45">
      <c r="A61" s="128"/>
      <c r="B61" s="150" t="s">
        <v>152</v>
      </c>
      <c r="C61" s="147"/>
      <c r="D61" s="147"/>
      <c r="E61" s="147"/>
      <c r="F61" s="147"/>
      <c r="G61" s="147"/>
      <c r="H61" s="147"/>
    </row>
    <row r="62" spans="1:8" ht="30" customHeight="1" x14ac:dyDescent="0.45">
      <c r="A62" s="128"/>
      <c r="B62" s="150" t="s">
        <v>153</v>
      </c>
      <c r="C62" s="147"/>
      <c r="D62" s="147"/>
      <c r="E62" s="147"/>
      <c r="F62" s="147"/>
      <c r="G62" s="147"/>
      <c r="H62" s="147"/>
    </row>
    <row r="63" spans="1:8" ht="30" customHeight="1" x14ac:dyDescent="0.45">
      <c r="A63" s="128"/>
      <c r="B63" s="150" t="s">
        <v>154</v>
      </c>
      <c r="C63" s="147"/>
      <c r="D63" s="147"/>
      <c r="E63" s="147"/>
      <c r="F63" s="147"/>
      <c r="G63" s="147"/>
      <c r="H63" s="147"/>
    </row>
    <row r="64" spans="1:8" x14ac:dyDescent="0.45">
      <c r="A64" s="112" t="s">
        <v>155</v>
      </c>
      <c r="B64" s="128"/>
      <c r="C64" s="152" t="s">
        <v>130</v>
      </c>
      <c r="D64" s="147"/>
      <c r="E64" s="128"/>
      <c r="F64" s="128"/>
      <c r="G64" s="128"/>
      <c r="H64" s="128"/>
    </row>
    <row r="65" spans="1:8" ht="15" customHeight="1" x14ac:dyDescent="0.45">
      <c r="A65" s="128"/>
      <c r="B65" s="150" t="s">
        <v>156</v>
      </c>
      <c r="C65" s="147"/>
      <c r="D65" s="147"/>
      <c r="E65" s="147"/>
      <c r="F65" s="147"/>
      <c r="G65" s="147"/>
      <c r="H65" s="147"/>
    </row>
    <row r="66" spans="1:8" x14ac:dyDescent="0.45">
      <c r="A66" s="112" t="s">
        <v>129</v>
      </c>
      <c r="B66" s="128"/>
      <c r="C66" s="152" t="s">
        <v>130</v>
      </c>
      <c r="D66" s="147"/>
      <c r="E66" s="128"/>
      <c r="F66" s="128"/>
      <c r="G66" s="128"/>
      <c r="H66" s="128"/>
    </row>
    <row r="67" spans="1:8" ht="15" customHeight="1" x14ac:dyDescent="0.45">
      <c r="A67" s="128"/>
      <c r="B67" s="150" t="s">
        <v>157</v>
      </c>
      <c r="C67" s="147"/>
      <c r="D67" s="147"/>
      <c r="E67" s="147"/>
      <c r="F67" s="147"/>
      <c r="G67" s="147"/>
      <c r="H67" s="147"/>
    </row>
    <row r="68" spans="1:8" x14ac:dyDescent="0.45">
      <c r="A68" s="112" t="s">
        <v>134</v>
      </c>
      <c r="B68" s="128"/>
      <c r="C68" s="152" t="s">
        <v>135</v>
      </c>
      <c r="D68" s="147"/>
      <c r="E68" s="128"/>
      <c r="F68" s="128"/>
      <c r="G68" s="128"/>
      <c r="H68" s="128"/>
    </row>
    <row r="69" spans="1:8" ht="15" customHeight="1" x14ac:dyDescent="0.45">
      <c r="A69" s="128"/>
      <c r="B69" s="150" t="s">
        <v>158</v>
      </c>
      <c r="C69" s="147"/>
      <c r="D69" s="147"/>
      <c r="E69" s="147"/>
      <c r="F69" s="147"/>
      <c r="G69" s="147"/>
      <c r="H69" s="147"/>
    </row>
    <row r="70" spans="1:8" x14ac:dyDescent="0.45">
      <c r="A70" s="129"/>
      <c r="B70" s="129"/>
      <c r="C70" s="129"/>
      <c r="D70" s="129"/>
      <c r="E70" s="129"/>
      <c r="F70" s="129"/>
      <c r="G70" s="129"/>
      <c r="H70" s="129"/>
    </row>
    <row r="71" spans="1:8" x14ac:dyDescent="0.45">
      <c r="A71" s="129"/>
      <c r="B71" s="129"/>
      <c r="C71" s="129"/>
      <c r="D71" s="129"/>
      <c r="E71" s="129"/>
      <c r="F71" s="129"/>
      <c r="G71" s="129"/>
      <c r="H71" s="129"/>
    </row>
    <row r="72" spans="1:8" x14ac:dyDescent="0.45">
      <c r="A72" s="164" t="s">
        <v>159</v>
      </c>
      <c r="B72" s="147"/>
      <c r="C72" s="147"/>
      <c r="D72" s="147"/>
      <c r="E72" s="147"/>
      <c r="F72" s="147"/>
      <c r="G72" s="147"/>
      <c r="H72" s="147"/>
    </row>
    <row r="73" spans="1:8" x14ac:dyDescent="0.45">
      <c r="A73" s="112" t="s">
        <v>160</v>
      </c>
      <c r="B73" s="129"/>
      <c r="C73" s="159" t="s">
        <v>161</v>
      </c>
      <c r="D73" s="147"/>
      <c r="E73" s="129"/>
      <c r="F73" s="129"/>
      <c r="G73" s="129"/>
      <c r="H73" s="129"/>
    </row>
    <row r="74" spans="1:8" ht="15" customHeight="1" x14ac:dyDescent="0.45">
      <c r="A74" s="129"/>
      <c r="B74" s="156" t="s">
        <v>162</v>
      </c>
      <c r="C74" s="147"/>
      <c r="D74" s="147"/>
      <c r="E74" s="147"/>
      <c r="F74" s="147"/>
      <c r="G74" s="147"/>
      <c r="H74" s="147"/>
    </row>
    <row r="75" spans="1:8" ht="15" customHeight="1" x14ac:dyDescent="0.45">
      <c r="A75" s="129"/>
      <c r="B75" s="156" t="s">
        <v>163</v>
      </c>
      <c r="C75" s="147"/>
      <c r="D75" s="147"/>
      <c r="E75" s="147"/>
      <c r="F75" s="147"/>
      <c r="G75" s="147"/>
      <c r="H75" s="147"/>
    </row>
    <row r="76" spans="1:8" ht="15" customHeight="1" x14ac:dyDescent="0.45">
      <c r="A76" s="129"/>
      <c r="B76" s="156" t="s">
        <v>164</v>
      </c>
      <c r="C76" s="147"/>
      <c r="D76" s="147"/>
      <c r="E76" s="147"/>
      <c r="F76" s="147"/>
      <c r="G76" s="147"/>
      <c r="H76" s="147"/>
    </row>
    <row r="77" spans="1:8" ht="15" customHeight="1" x14ac:dyDescent="0.45">
      <c r="A77" s="129"/>
      <c r="B77" s="156" t="s">
        <v>165</v>
      </c>
      <c r="C77" s="147"/>
      <c r="D77" s="147"/>
      <c r="E77" s="147"/>
      <c r="F77" s="147"/>
      <c r="G77" s="147"/>
      <c r="H77" s="147"/>
    </row>
    <row r="78" spans="1:8" x14ac:dyDescent="0.45">
      <c r="A78" s="112" t="s">
        <v>122</v>
      </c>
      <c r="B78" s="129"/>
      <c r="C78" s="159" t="s">
        <v>143</v>
      </c>
      <c r="D78" s="147"/>
      <c r="E78" s="129"/>
      <c r="F78" s="129"/>
      <c r="G78" s="129"/>
      <c r="H78" s="129"/>
    </row>
    <row r="79" spans="1:8" ht="15" customHeight="1" x14ac:dyDescent="0.45">
      <c r="A79" s="129"/>
      <c r="B79" s="156" t="s">
        <v>166</v>
      </c>
      <c r="C79" s="147"/>
      <c r="D79" s="147"/>
      <c r="E79" s="147"/>
      <c r="F79" s="147"/>
      <c r="G79" s="147"/>
      <c r="H79" s="147"/>
    </row>
    <row r="80" spans="1:8" ht="15" customHeight="1" x14ac:dyDescent="0.45">
      <c r="A80" s="129"/>
      <c r="B80" s="156" t="s">
        <v>167</v>
      </c>
      <c r="C80" s="147"/>
      <c r="D80" s="147"/>
      <c r="E80" s="147"/>
      <c r="F80" s="147"/>
      <c r="G80" s="147"/>
      <c r="H80" s="147"/>
    </row>
    <row r="81" spans="1:8" ht="15" customHeight="1" x14ac:dyDescent="0.45">
      <c r="A81" s="129"/>
      <c r="B81" s="156" t="s">
        <v>168</v>
      </c>
      <c r="C81" s="147"/>
      <c r="D81" s="147"/>
      <c r="E81" s="147"/>
      <c r="F81" s="147"/>
      <c r="G81" s="147"/>
      <c r="H81" s="147"/>
    </row>
    <row r="82" spans="1:8" ht="15" customHeight="1" x14ac:dyDescent="0.45">
      <c r="A82" s="129"/>
      <c r="B82" s="156" t="s">
        <v>169</v>
      </c>
      <c r="C82" s="147"/>
      <c r="D82" s="147"/>
      <c r="E82" s="147"/>
      <c r="F82" s="147"/>
      <c r="G82" s="147"/>
      <c r="H82" s="147"/>
    </row>
    <row r="83" spans="1:8" ht="15" customHeight="1" x14ac:dyDescent="0.45">
      <c r="A83" s="129"/>
      <c r="B83" s="156" t="s">
        <v>170</v>
      </c>
      <c r="C83" s="147"/>
      <c r="D83" s="147"/>
      <c r="E83" s="147"/>
      <c r="F83" s="147"/>
      <c r="G83" s="147"/>
      <c r="H83" s="147"/>
    </row>
    <row r="84" spans="1:8" ht="15" customHeight="1" x14ac:dyDescent="0.45">
      <c r="A84" s="129"/>
      <c r="B84" s="156" t="s">
        <v>171</v>
      </c>
      <c r="C84" s="147"/>
      <c r="D84" s="147"/>
      <c r="E84" s="147"/>
      <c r="F84" s="147"/>
      <c r="G84" s="147"/>
      <c r="H84" s="147"/>
    </row>
    <row r="85" spans="1:8" ht="15" customHeight="1" x14ac:dyDescent="0.45">
      <c r="A85" s="129"/>
      <c r="B85" s="156" t="s">
        <v>172</v>
      </c>
      <c r="C85" s="147"/>
      <c r="D85" s="147"/>
      <c r="E85" s="147"/>
      <c r="F85" s="147"/>
      <c r="G85" s="147"/>
      <c r="H85" s="147"/>
    </row>
    <row r="86" spans="1:8" x14ac:dyDescent="0.45">
      <c r="A86" s="129"/>
      <c r="B86" s="129"/>
      <c r="C86" s="129"/>
      <c r="D86" s="129"/>
      <c r="E86" s="129"/>
      <c r="F86" s="129"/>
      <c r="G86" s="129"/>
      <c r="H86" s="129"/>
    </row>
    <row r="87" spans="1:8" x14ac:dyDescent="0.45">
      <c r="A87" s="129"/>
      <c r="B87" s="129"/>
      <c r="C87" s="129"/>
      <c r="D87" s="129"/>
      <c r="E87" s="129"/>
      <c r="F87" s="129"/>
      <c r="G87" s="129"/>
      <c r="H87" s="129"/>
    </row>
    <row r="88" spans="1:8" x14ac:dyDescent="0.45">
      <c r="A88" s="163" t="s">
        <v>173</v>
      </c>
      <c r="B88" s="147"/>
      <c r="C88" s="147"/>
      <c r="D88" s="147"/>
      <c r="E88" s="147"/>
      <c r="F88" s="147"/>
      <c r="G88" s="147"/>
      <c r="H88" s="147"/>
    </row>
    <row r="89" spans="1:8" x14ac:dyDescent="0.45">
      <c r="A89" s="154" t="s">
        <v>174</v>
      </c>
      <c r="B89" s="147"/>
      <c r="C89" s="147"/>
      <c r="D89" s="147"/>
      <c r="E89" s="147"/>
      <c r="F89" s="147"/>
      <c r="G89" s="147"/>
      <c r="H89" s="147"/>
    </row>
    <row r="90" spans="1:8" x14ac:dyDescent="0.45">
      <c r="A90" s="154" t="s">
        <v>175</v>
      </c>
      <c r="B90" s="147"/>
      <c r="C90" s="147"/>
      <c r="D90" s="147"/>
      <c r="E90" s="147"/>
      <c r="F90" s="147"/>
      <c r="G90" s="147"/>
      <c r="H90" s="147"/>
    </row>
    <row r="91" spans="1:8" x14ac:dyDescent="0.45">
      <c r="A91" s="154" t="s">
        <v>176</v>
      </c>
      <c r="B91" s="147"/>
      <c r="C91" s="147"/>
      <c r="D91" s="147"/>
      <c r="E91" s="147"/>
      <c r="F91" s="147"/>
      <c r="G91" s="147"/>
      <c r="H91" s="147"/>
    </row>
    <row r="92" spans="1:8" x14ac:dyDescent="0.45">
      <c r="A92" s="154" t="s">
        <v>177</v>
      </c>
      <c r="B92" s="147"/>
      <c r="C92" s="147"/>
      <c r="D92" s="147"/>
      <c r="E92" s="147"/>
      <c r="F92" s="147"/>
      <c r="G92" s="147"/>
      <c r="H92" s="147"/>
    </row>
    <row r="93" spans="1:8" x14ac:dyDescent="0.45">
      <c r="A93" s="154" t="s">
        <v>178</v>
      </c>
      <c r="B93" s="147"/>
      <c r="C93" s="147"/>
      <c r="D93" s="147"/>
      <c r="E93" s="147"/>
      <c r="F93" s="147"/>
      <c r="G93" s="147"/>
      <c r="H93" s="147"/>
    </row>
    <row r="94" spans="1:8" x14ac:dyDescent="0.45">
      <c r="A94" s="129"/>
      <c r="B94" s="129"/>
      <c r="C94" s="129"/>
      <c r="D94" s="129"/>
      <c r="E94" s="129"/>
      <c r="F94" s="129"/>
      <c r="G94" s="129"/>
      <c r="H94" s="129"/>
    </row>
    <row r="95" spans="1:8" x14ac:dyDescent="0.45">
      <c r="A95" s="163" t="s">
        <v>179</v>
      </c>
      <c r="B95" s="147"/>
      <c r="C95" s="147"/>
      <c r="D95" s="147"/>
      <c r="E95" s="147"/>
      <c r="F95" s="147"/>
      <c r="G95" s="147"/>
      <c r="H95" s="147"/>
    </row>
    <row r="96" spans="1:8" x14ac:dyDescent="0.45">
      <c r="A96" s="154" t="s">
        <v>180</v>
      </c>
      <c r="B96" s="147"/>
      <c r="C96" s="147"/>
      <c r="D96" s="147"/>
      <c r="E96" s="147"/>
      <c r="F96" s="147"/>
      <c r="G96" s="147"/>
      <c r="H96" s="147"/>
    </row>
    <row r="97" spans="1:8" x14ac:dyDescent="0.45">
      <c r="A97" s="154" t="s">
        <v>181</v>
      </c>
      <c r="B97" s="147"/>
      <c r="C97" s="147"/>
      <c r="D97" s="147"/>
      <c r="E97" s="147"/>
      <c r="F97" s="147"/>
      <c r="G97" s="147"/>
      <c r="H97" s="147"/>
    </row>
    <row r="98" spans="1:8" x14ac:dyDescent="0.45">
      <c r="A98" s="154" t="s">
        <v>182</v>
      </c>
      <c r="B98" s="147"/>
      <c r="C98" s="147"/>
      <c r="D98" s="147"/>
      <c r="E98" s="147"/>
      <c r="F98" s="147"/>
      <c r="G98" s="147"/>
      <c r="H98" s="147"/>
    </row>
    <row r="99" spans="1:8" x14ac:dyDescent="0.45">
      <c r="A99" s="154" t="s">
        <v>183</v>
      </c>
      <c r="B99" s="147"/>
      <c r="C99" s="147"/>
      <c r="D99" s="147"/>
      <c r="E99" s="147"/>
      <c r="F99" s="147"/>
      <c r="G99" s="147"/>
      <c r="H99" s="147"/>
    </row>
    <row r="100" spans="1:8" x14ac:dyDescent="0.45">
      <c r="A100" s="129"/>
      <c r="B100" s="129"/>
      <c r="C100" s="129"/>
      <c r="D100" s="129"/>
      <c r="E100" s="129"/>
      <c r="F100" s="129"/>
      <c r="G100" s="129"/>
      <c r="H100" s="129"/>
    </row>
    <row r="101" spans="1:8" x14ac:dyDescent="0.45">
      <c r="A101" s="163" t="s">
        <v>184</v>
      </c>
      <c r="B101" s="147"/>
      <c r="C101" s="147"/>
      <c r="D101" s="147"/>
      <c r="E101" s="147"/>
      <c r="F101" s="147"/>
      <c r="G101" s="147"/>
      <c r="H101" s="147"/>
    </row>
    <row r="102" spans="1:8" x14ac:dyDescent="0.45">
      <c r="A102" s="154" t="s">
        <v>185</v>
      </c>
      <c r="B102" s="147"/>
      <c r="C102" s="147"/>
      <c r="D102" s="147"/>
      <c r="E102" s="147"/>
      <c r="F102" s="147"/>
      <c r="G102" s="147"/>
      <c r="H102" s="147"/>
    </row>
    <row r="103" spans="1:8" x14ac:dyDescent="0.45">
      <c r="A103" s="154" t="s">
        <v>186</v>
      </c>
      <c r="B103" s="147"/>
      <c r="C103" s="147"/>
      <c r="D103" s="147"/>
      <c r="E103" s="147"/>
      <c r="F103" s="147"/>
      <c r="G103" s="147"/>
      <c r="H103" s="147"/>
    </row>
    <row r="104" spans="1:8" x14ac:dyDescent="0.45">
      <c r="A104" s="154" t="s">
        <v>187</v>
      </c>
      <c r="B104" s="147"/>
      <c r="C104" s="147"/>
      <c r="D104" s="147"/>
      <c r="E104" s="147"/>
      <c r="F104" s="147"/>
      <c r="G104" s="147"/>
      <c r="H104" s="147"/>
    </row>
    <row r="105" spans="1:8" x14ac:dyDescent="0.45">
      <c r="A105" s="129"/>
      <c r="B105" s="129"/>
      <c r="C105" s="129"/>
      <c r="D105" s="129"/>
      <c r="E105" s="129"/>
      <c r="F105" s="129"/>
      <c r="G105" s="129"/>
      <c r="H105" s="129"/>
    </row>
    <row r="106" spans="1:8" x14ac:dyDescent="0.45">
      <c r="A106" s="163" t="s">
        <v>188</v>
      </c>
      <c r="B106" s="147"/>
      <c r="C106" s="147"/>
      <c r="D106" s="147"/>
      <c r="E106" s="147"/>
      <c r="F106" s="147"/>
      <c r="G106" s="147"/>
      <c r="H106" s="147"/>
    </row>
    <row r="107" spans="1:8" x14ac:dyDescent="0.45">
      <c r="A107" s="154" t="s">
        <v>189</v>
      </c>
      <c r="B107" s="147"/>
      <c r="C107" s="147"/>
      <c r="D107" s="147"/>
      <c r="E107" s="147"/>
      <c r="F107" s="147"/>
      <c r="G107" s="147"/>
      <c r="H107" s="147"/>
    </row>
    <row r="108" spans="1:8" x14ac:dyDescent="0.45">
      <c r="A108" s="154" t="s">
        <v>190</v>
      </c>
      <c r="B108" s="147"/>
      <c r="C108" s="147"/>
      <c r="D108" s="147"/>
      <c r="E108" s="147"/>
      <c r="F108" s="147"/>
      <c r="G108" s="147"/>
      <c r="H108" s="147"/>
    </row>
    <row r="109" spans="1:8" x14ac:dyDescent="0.45">
      <c r="A109" s="154" t="s">
        <v>191</v>
      </c>
      <c r="B109" s="147"/>
      <c r="C109" s="147"/>
      <c r="D109" s="147"/>
      <c r="E109" s="147"/>
      <c r="F109" s="147"/>
      <c r="G109" s="147"/>
      <c r="H109" s="147"/>
    </row>
    <row r="110" spans="1:8" x14ac:dyDescent="0.45">
      <c r="A110" s="129"/>
      <c r="B110" s="129"/>
      <c r="C110" s="129"/>
      <c r="D110" s="129"/>
      <c r="E110" s="129"/>
      <c r="F110" s="129"/>
      <c r="G110" s="129"/>
      <c r="H110" s="129"/>
    </row>
    <row r="111" spans="1:8" x14ac:dyDescent="0.45">
      <c r="A111" s="129"/>
      <c r="B111" s="129"/>
      <c r="C111" s="129"/>
      <c r="D111" s="129"/>
      <c r="E111" s="129"/>
      <c r="F111" s="129"/>
      <c r="G111" s="129"/>
      <c r="H111" s="129"/>
    </row>
    <row r="112" spans="1:8" x14ac:dyDescent="0.45">
      <c r="A112" s="129"/>
      <c r="B112" s="129"/>
      <c r="C112" s="129"/>
      <c r="D112" s="129"/>
      <c r="E112" s="129"/>
      <c r="F112" s="129"/>
      <c r="G112" s="129"/>
      <c r="H112" s="129"/>
    </row>
    <row r="113" spans="1:8" x14ac:dyDescent="0.45">
      <c r="A113" s="129"/>
      <c r="B113" s="129"/>
      <c r="C113" s="129"/>
      <c r="D113" s="129"/>
      <c r="E113" s="129"/>
      <c r="F113" s="129"/>
      <c r="G113" s="129"/>
      <c r="H113" s="129"/>
    </row>
    <row r="114" spans="1:8" x14ac:dyDescent="0.45">
      <c r="A114" s="129"/>
      <c r="B114" s="129"/>
      <c r="C114" s="129"/>
      <c r="D114" s="129"/>
      <c r="E114" s="129"/>
      <c r="F114" s="129"/>
      <c r="G114" s="129"/>
      <c r="H114" s="129"/>
    </row>
    <row r="115" spans="1:8" x14ac:dyDescent="0.45">
      <c r="A115" s="129"/>
      <c r="B115" s="129"/>
      <c r="C115" s="129"/>
      <c r="D115" s="129"/>
      <c r="E115" s="129"/>
      <c r="F115" s="129"/>
      <c r="G115" s="129"/>
      <c r="H115" s="129"/>
    </row>
    <row r="116" spans="1:8" x14ac:dyDescent="0.45">
      <c r="A116" s="129"/>
      <c r="B116" s="129"/>
      <c r="C116" s="129"/>
      <c r="D116" s="129"/>
      <c r="E116" s="129"/>
      <c r="F116" s="129"/>
      <c r="G116" s="129"/>
      <c r="H116" s="129"/>
    </row>
    <row r="117" spans="1:8" x14ac:dyDescent="0.45">
      <c r="A117" s="129"/>
      <c r="B117" s="129"/>
      <c r="C117" s="129"/>
      <c r="D117" s="129"/>
      <c r="E117" s="129"/>
      <c r="F117" s="129"/>
      <c r="G117" s="129"/>
      <c r="H117" s="129"/>
    </row>
    <row r="118" spans="1:8" x14ac:dyDescent="0.45">
      <c r="A118" s="129"/>
      <c r="B118" s="129"/>
      <c r="C118" s="129"/>
      <c r="D118" s="129"/>
      <c r="E118" s="129"/>
      <c r="F118" s="129"/>
      <c r="G118" s="129"/>
      <c r="H118" s="129"/>
    </row>
    <row r="119" spans="1:8" x14ac:dyDescent="0.45">
      <c r="A119" s="129"/>
      <c r="B119" s="129"/>
      <c r="C119" s="129"/>
      <c r="D119" s="129"/>
      <c r="E119" s="129"/>
      <c r="F119" s="129"/>
      <c r="G119" s="129"/>
      <c r="H119" s="129"/>
    </row>
    <row r="120" spans="1:8" x14ac:dyDescent="0.45">
      <c r="A120" s="129"/>
      <c r="B120" s="129"/>
      <c r="C120" s="129"/>
      <c r="D120" s="129"/>
      <c r="E120" s="129"/>
      <c r="F120" s="129"/>
      <c r="G120" s="129"/>
      <c r="H120" s="129"/>
    </row>
    <row r="121" spans="1:8" x14ac:dyDescent="0.45">
      <c r="A121" s="129"/>
      <c r="B121" s="129"/>
      <c r="C121" s="129"/>
      <c r="D121" s="129"/>
      <c r="E121" s="129"/>
      <c r="F121" s="129"/>
      <c r="G121" s="129"/>
      <c r="H121" s="129"/>
    </row>
    <row r="122" spans="1:8" x14ac:dyDescent="0.45">
      <c r="A122" s="129"/>
      <c r="B122" s="129"/>
      <c r="C122" s="129"/>
      <c r="D122" s="129"/>
      <c r="E122" s="129"/>
      <c r="F122" s="129"/>
      <c r="G122" s="129"/>
      <c r="H122" s="129"/>
    </row>
    <row r="123" spans="1:8" x14ac:dyDescent="0.45">
      <c r="A123" s="129"/>
      <c r="B123" s="129"/>
      <c r="C123" s="129"/>
      <c r="D123" s="129"/>
      <c r="E123" s="129"/>
      <c r="F123" s="129"/>
      <c r="G123" s="129"/>
      <c r="H123" s="129"/>
    </row>
    <row r="124" spans="1:8" x14ac:dyDescent="0.45">
      <c r="A124" s="129"/>
      <c r="B124" s="129"/>
      <c r="C124" s="129"/>
      <c r="D124" s="129"/>
      <c r="E124" s="129"/>
      <c r="F124" s="129"/>
      <c r="G124" s="129"/>
      <c r="H124" s="129"/>
    </row>
    <row r="125" spans="1:8" x14ac:dyDescent="0.45">
      <c r="A125" s="129"/>
      <c r="B125" s="129"/>
      <c r="C125" s="129"/>
      <c r="D125" s="129"/>
      <c r="E125" s="129"/>
      <c r="F125" s="129"/>
      <c r="G125" s="129"/>
      <c r="H125" s="129"/>
    </row>
    <row r="126" spans="1:8" x14ac:dyDescent="0.45">
      <c r="A126" s="129"/>
      <c r="B126" s="129"/>
      <c r="C126" s="129"/>
      <c r="D126" s="129"/>
      <c r="E126" s="129"/>
      <c r="F126" s="129"/>
      <c r="G126" s="129"/>
      <c r="H126" s="129"/>
    </row>
    <row r="127" spans="1:8" x14ac:dyDescent="0.45">
      <c r="A127" s="129"/>
      <c r="B127" s="129"/>
      <c r="C127" s="129"/>
      <c r="D127" s="129"/>
      <c r="E127" s="129"/>
      <c r="F127" s="129"/>
      <c r="G127" s="129"/>
      <c r="H127" s="129"/>
    </row>
    <row r="128" spans="1:8" x14ac:dyDescent="0.45">
      <c r="A128" s="129"/>
      <c r="B128" s="129"/>
      <c r="C128" s="129"/>
      <c r="D128" s="129"/>
      <c r="E128" s="129"/>
      <c r="F128" s="129"/>
      <c r="G128" s="129"/>
      <c r="H128" s="129"/>
    </row>
    <row r="129" spans="1:8" x14ac:dyDescent="0.45">
      <c r="A129" s="129"/>
      <c r="B129" s="129"/>
      <c r="C129" s="129"/>
      <c r="D129" s="129"/>
      <c r="E129" s="129"/>
      <c r="F129" s="129"/>
      <c r="G129" s="129"/>
      <c r="H129" s="129"/>
    </row>
    <row r="130" spans="1:8" x14ac:dyDescent="0.45">
      <c r="A130" s="129"/>
      <c r="B130" s="129"/>
      <c r="C130" s="129"/>
      <c r="D130" s="129"/>
      <c r="E130" s="129"/>
      <c r="F130" s="129"/>
      <c r="G130" s="129"/>
      <c r="H130" s="129"/>
    </row>
    <row r="131" spans="1:8" x14ac:dyDescent="0.45">
      <c r="A131" s="129"/>
      <c r="B131" s="129"/>
      <c r="C131" s="129"/>
      <c r="D131" s="129"/>
      <c r="E131" s="129"/>
      <c r="F131" s="129"/>
      <c r="G131" s="129"/>
      <c r="H131" s="129"/>
    </row>
    <row r="132" spans="1:8" x14ac:dyDescent="0.45">
      <c r="A132" s="129"/>
      <c r="B132" s="129"/>
      <c r="C132" s="129"/>
      <c r="D132" s="129"/>
      <c r="E132" s="129"/>
      <c r="F132" s="129"/>
      <c r="G132" s="129"/>
      <c r="H132" s="129"/>
    </row>
    <row r="133" spans="1:8" x14ac:dyDescent="0.45">
      <c r="A133" s="129"/>
      <c r="B133" s="129"/>
      <c r="C133" s="129"/>
      <c r="D133" s="129"/>
      <c r="E133" s="129"/>
      <c r="F133" s="129"/>
      <c r="G133" s="129"/>
      <c r="H133" s="129"/>
    </row>
    <row r="134" spans="1:8" x14ac:dyDescent="0.45">
      <c r="A134" s="129"/>
      <c r="B134" s="129"/>
      <c r="C134" s="129"/>
      <c r="D134" s="129"/>
      <c r="E134" s="129"/>
      <c r="F134" s="129"/>
      <c r="G134" s="129"/>
      <c r="H134" s="129"/>
    </row>
    <row r="135" spans="1:8" x14ac:dyDescent="0.45">
      <c r="A135" s="129"/>
      <c r="B135" s="129"/>
      <c r="C135" s="129"/>
      <c r="D135" s="129"/>
      <c r="E135" s="129"/>
      <c r="F135" s="129"/>
      <c r="G135" s="129"/>
      <c r="H135" s="129"/>
    </row>
    <row r="136" spans="1:8" x14ac:dyDescent="0.45">
      <c r="A136" s="129"/>
      <c r="B136" s="129"/>
      <c r="C136" s="129"/>
      <c r="D136" s="129"/>
      <c r="E136" s="129"/>
      <c r="F136" s="129"/>
      <c r="G136" s="129"/>
      <c r="H136" s="129"/>
    </row>
    <row r="137" spans="1:8" x14ac:dyDescent="0.45">
      <c r="A137" s="129"/>
      <c r="B137" s="129"/>
      <c r="C137" s="129"/>
      <c r="D137" s="129"/>
      <c r="E137" s="129"/>
      <c r="F137" s="129"/>
      <c r="G137" s="129"/>
      <c r="H137" s="129"/>
    </row>
    <row r="138" spans="1:8" x14ac:dyDescent="0.45">
      <c r="A138" s="129"/>
      <c r="B138" s="129"/>
      <c r="C138" s="129"/>
      <c r="D138" s="129"/>
      <c r="E138" s="129"/>
      <c r="F138" s="129"/>
      <c r="G138" s="129"/>
      <c r="H138" s="129"/>
    </row>
    <row r="139" spans="1:8" x14ac:dyDescent="0.45">
      <c r="A139" s="129"/>
      <c r="B139" s="129"/>
      <c r="C139" s="129"/>
      <c r="D139" s="129"/>
      <c r="E139" s="129"/>
      <c r="F139" s="129"/>
      <c r="G139" s="129"/>
      <c r="H139" s="129"/>
    </row>
    <row r="140" spans="1:8" x14ac:dyDescent="0.45">
      <c r="A140" s="129"/>
      <c r="B140" s="129"/>
      <c r="C140" s="129"/>
      <c r="D140" s="129"/>
      <c r="E140" s="129"/>
      <c r="F140" s="129"/>
      <c r="G140" s="129"/>
      <c r="H140" s="129"/>
    </row>
    <row r="141" spans="1:8" x14ac:dyDescent="0.45">
      <c r="A141" s="129"/>
      <c r="B141" s="129"/>
      <c r="C141" s="129"/>
      <c r="D141" s="129"/>
      <c r="E141" s="129"/>
      <c r="F141" s="129"/>
      <c r="G141" s="129"/>
      <c r="H141" s="129"/>
    </row>
    <row r="142" spans="1:8" x14ac:dyDescent="0.45">
      <c r="A142" s="129"/>
      <c r="B142" s="129"/>
      <c r="C142" s="129"/>
      <c r="D142" s="129"/>
      <c r="E142" s="129"/>
      <c r="F142" s="129"/>
      <c r="G142" s="129"/>
      <c r="H142" s="129"/>
    </row>
    <row r="143" spans="1:8" x14ac:dyDescent="0.45">
      <c r="A143" s="129"/>
      <c r="B143" s="129"/>
      <c r="C143" s="129"/>
      <c r="D143" s="129"/>
      <c r="E143" s="129"/>
      <c r="F143" s="129"/>
      <c r="G143" s="129"/>
      <c r="H143" s="129"/>
    </row>
    <row r="144" spans="1:8" x14ac:dyDescent="0.45">
      <c r="A144" s="129"/>
      <c r="B144" s="129"/>
      <c r="C144" s="129"/>
      <c r="D144" s="129"/>
      <c r="E144" s="129"/>
      <c r="F144" s="129"/>
      <c r="G144" s="129"/>
      <c r="H144" s="129"/>
    </row>
    <row r="145" spans="1:8" x14ac:dyDescent="0.45">
      <c r="A145" s="129"/>
      <c r="B145" s="129"/>
      <c r="C145" s="129"/>
      <c r="D145" s="129"/>
      <c r="E145" s="129"/>
      <c r="F145" s="129"/>
      <c r="G145" s="129"/>
      <c r="H145" s="129"/>
    </row>
    <row r="146" spans="1:8" x14ac:dyDescent="0.45">
      <c r="A146" s="129"/>
      <c r="B146" s="129"/>
      <c r="C146" s="129"/>
      <c r="D146" s="129"/>
      <c r="E146" s="129"/>
      <c r="F146" s="129"/>
      <c r="G146" s="129"/>
      <c r="H146" s="129"/>
    </row>
    <row r="147" spans="1:8" x14ac:dyDescent="0.45">
      <c r="A147" s="129"/>
      <c r="B147" s="129"/>
      <c r="C147" s="129"/>
      <c r="D147" s="129"/>
      <c r="E147" s="129"/>
      <c r="F147" s="129"/>
      <c r="G147" s="129"/>
      <c r="H147" s="129"/>
    </row>
    <row r="148" spans="1:8" x14ac:dyDescent="0.45">
      <c r="A148" s="129"/>
      <c r="B148" s="129"/>
      <c r="C148" s="129"/>
      <c r="D148" s="129"/>
      <c r="E148" s="129"/>
      <c r="F148" s="129"/>
      <c r="G148" s="129"/>
      <c r="H148" s="129"/>
    </row>
    <row r="149" spans="1:8" x14ac:dyDescent="0.45">
      <c r="A149" s="129"/>
      <c r="B149" s="129"/>
      <c r="C149" s="129"/>
      <c r="D149" s="129"/>
      <c r="E149" s="129"/>
      <c r="F149" s="129"/>
      <c r="G149" s="129"/>
      <c r="H149" s="129"/>
    </row>
  </sheetData>
  <mergeCells count="108">
    <mergeCell ref="A5:H5"/>
    <mergeCell ref="A17:B17"/>
    <mergeCell ref="B60:H60"/>
    <mergeCell ref="A97:H97"/>
    <mergeCell ref="A7:H7"/>
    <mergeCell ref="F13:H13"/>
    <mergeCell ref="A14:B14"/>
    <mergeCell ref="A8:H8"/>
    <mergeCell ref="B23:H23"/>
    <mergeCell ref="F16:H16"/>
    <mergeCell ref="C14:E14"/>
    <mergeCell ref="A15:B15"/>
    <mergeCell ref="F18:H18"/>
    <mergeCell ref="F17:H17"/>
    <mergeCell ref="B33:H33"/>
    <mergeCell ref="C64:D64"/>
    <mergeCell ref="B51:H51"/>
    <mergeCell ref="A6:H6"/>
    <mergeCell ref="C73:D73"/>
    <mergeCell ref="B32:H32"/>
    <mergeCell ref="B41:H41"/>
    <mergeCell ref="B35:H35"/>
    <mergeCell ref="F14:H14"/>
    <mergeCell ref="C16:E16"/>
    <mergeCell ref="A107:H107"/>
    <mergeCell ref="B80:H80"/>
    <mergeCell ref="B79:H79"/>
    <mergeCell ref="A99:H99"/>
    <mergeCell ref="B85:H85"/>
    <mergeCell ref="B75:H75"/>
    <mergeCell ref="A90:H90"/>
    <mergeCell ref="B47:H47"/>
    <mergeCell ref="C44:D44"/>
    <mergeCell ref="B62:H62"/>
    <mergeCell ref="C59:D59"/>
    <mergeCell ref="B46:H46"/>
    <mergeCell ref="B48:H48"/>
    <mergeCell ref="A95:H95"/>
    <mergeCell ref="B52:H52"/>
    <mergeCell ref="A104:H104"/>
    <mergeCell ref="C68:D68"/>
    <mergeCell ref="B74:H74"/>
    <mergeCell ref="B83:H83"/>
    <mergeCell ref="A98:H98"/>
    <mergeCell ref="B76:H76"/>
    <mergeCell ref="B45:H45"/>
    <mergeCell ref="A88:H88"/>
    <mergeCell ref="A106:H106"/>
    <mergeCell ref="A29:H29"/>
    <mergeCell ref="A19:B19"/>
    <mergeCell ref="A96:H96"/>
    <mergeCell ref="B37:H37"/>
    <mergeCell ref="A58:H58"/>
    <mergeCell ref="B84:H84"/>
    <mergeCell ref="C30:D30"/>
    <mergeCell ref="B31:H31"/>
    <mergeCell ref="A26:H26"/>
    <mergeCell ref="B39:H39"/>
    <mergeCell ref="C66:D66"/>
    <mergeCell ref="C53:D53"/>
    <mergeCell ref="C18:E18"/>
    <mergeCell ref="C36:D36"/>
    <mergeCell ref="A109:H109"/>
    <mergeCell ref="C38:D38"/>
    <mergeCell ref="A10:H10"/>
    <mergeCell ref="A102:H102"/>
    <mergeCell ref="C49:D49"/>
    <mergeCell ref="A9:H9"/>
    <mergeCell ref="A92:H92"/>
    <mergeCell ref="B65:H65"/>
    <mergeCell ref="A103:H103"/>
    <mergeCell ref="A91:H91"/>
    <mergeCell ref="A93:H93"/>
    <mergeCell ref="A108:H108"/>
    <mergeCell ref="B54:H54"/>
    <mergeCell ref="C40:D40"/>
    <mergeCell ref="A27:H27"/>
    <mergeCell ref="B81:H81"/>
    <mergeCell ref="A101:H101"/>
    <mergeCell ref="C13:E13"/>
    <mergeCell ref="B56:H56"/>
    <mergeCell ref="C15:E15"/>
    <mergeCell ref="B82:H82"/>
    <mergeCell ref="A72:H72"/>
    <mergeCell ref="A1:H1"/>
    <mergeCell ref="B63:H63"/>
    <mergeCell ref="A16:B16"/>
    <mergeCell ref="B50:H50"/>
    <mergeCell ref="C55:D55"/>
    <mergeCell ref="C17:E17"/>
    <mergeCell ref="A18:B18"/>
    <mergeCell ref="A89:H89"/>
    <mergeCell ref="A12:H12"/>
    <mergeCell ref="B22:H22"/>
    <mergeCell ref="A21:H21"/>
    <mergeCell ref="C19:E19"/>
    <mergeCell ref="B77:H77"/>
    <mergeCell ref="B67:H67"/>
    <mergeCell ref="B61:H61"/>
    <mergeCell ref="A4:H4"/>
    <mergeCell ref="F19:H19"/>
    <mergeCell ref="A43:H43"/>
    <mergeCell ref="B69:H69"/>
    <mergeCell ref="A13:B13"/>
    <mergeCell ref="C78:D78"/>
    <mergeCell ref="A2:H2"/>
    <mergeCell ref="F15:H15"/>
    <mergeCell ref="B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6"/>
  <sheetViews>
    <sheetView zoomScale="106" workbookViewId="0">
      <selection activeCell="B8" sqref="B8"/>
    </sheetView>
  </sheetViews>
  <sheetFormatPr defaultRowHeight="14.25" x14ac:dyDescent="0.45"/>
  <cols>
    <col min="1" max="1" width="42" customWidth="1"/>
    <col min="2" max="2" width="22" customWidth="1"/>
    <col min="3" max="3" width="44.06640625" bestFit="1" customWidth="1"/>
    <col min="4" max="4" width="61.73046875" bestFit="1" customWidth="1"/>
  </cols>
  <sheetData>
    <row r="1" spans="1:4" ht="18" customHeight="1" x14ac:dyDescent="0.45">
      <c r="A1" s="170" t="s">
        <v>192</v>
      </c>
      <c r="B1" s="147"/>
      <c r="C1" s="147"/>
    </row>
    <row r="2" spans="1:4" x14ac:dyDescent="0.45">
      <c r="A2" s="160" t="s">
        <v>193</v>
      </c>
      <c r="B2" s="147"/>
      <c r="C2" s="147"/>
    </row>
    <row r="4" spans="1:4" ht="15.75" customHeight="1" x14ac:dyDescent="0.5">
      <c r="A4" s="155" t="s">
        <v>194</v>
      </c>
      <c r="B4" s="147"/>
      <c r="C4" s="147"/>
    </row>
    <row r="5" spans="1:4" x14ac:dyDescent="0.45">
      <c r="A5" s="95" t="s">
        <v>195</v>
      </c>
      <c r="B5" s="95" t="s">
        <v>196</v>
      </c>
      <c r="C5" s="95" t="s">
        <v>197</v>
      </c>
    </row>
    <row r="6" spans="1:4" x14ac:dyDescent="0.45">
      <c r="A6" s="96" t="s">
        <v>2</v>
      </c>
      <c r="B6" s="97" t="s">
        <v>683</v>
      </c>
      <c r="C6" s="96" t="s">
        <v>198</v>
      </c>
    </row>
    <row r="7" spans="1:4" x14ac:dyDescent="0.45">
      <c r="A7" s="96" t="s">
        <v>3</v>
      </c>
      <c r="B7" s="97" t="s">
        <v>684</v>
      </c>
      <c r="C7" s="96" t="s">
        <v>199</v>
      </c>
    </row>
    <row r="8" spans="1:4" x14ac:dyDescent="0.45">
      <c r="A8" s="96" t="s">
        <v>200</v>
      </c>
      <c r="B8" s="97" t="s">
        <v>201</v>
      </c>
      <c r="C8" s="96" t="s">
        <v>202</v>
      </c>
    </row>
    <row r="10" spans="1:4" ht="15.75" customHeight="1" x14ac:dyDescent="0.5">
      <c r="A10" s="155" t="s">
        <v>203</v>
      </c>
      <c r="B10" s="147"/>
      <c r="C10" s="147"/>
    </row>
    <row r="11" spans="1:4" x14ac:dyDescent="0.45">
      <c r="A11" s="95" t="s">
        <v>204</v>
      </c>
      <c r="B11" s="95" t="s">
        <v>18</v>
      </c>
      <c r="C11" s="95" t="s">
        <v>197</v>
      </c>
      <c r="D11" s="131" t="s">
        <v>205</v>
      </c>
    </row>
    <row r="12" spans="1:4" x14ac:dyDescent="0.45">
      <c r="A12" s="96" t="s">
        <v>206</v>
      </c>
      <c r="B12" s="98">
        <v>0.2</v>
      </c>
      <c r="C12" s="96" t="s">
        <v>207</v>
      </c>
      <c r="D12" t="s">
        <v>208</v>
      </c>
    </row>
    <row r="13" spans="1:4" x14ac:dyDescent="0.45">
      <c r="A13" s="96" t="s">
        <v>209</v>
      </c>
      <c r="B13" s="98">
        <v>0.2</v>
      </c>
      <c r="C13" s="96" t="s">
        <v>210</v>
      </c>
      <c r="D13" t="s">
        <v>211</v>
      </c>
    </row>
    <row r="14" spans="1:4" x14ac:dyDescent="0.45">
      <c r="A14" s="96" t="s">
        <v>212</v>
      </c>
      <c r="B14" s="98">
        <v>0.2</v>
      </c>
      <c r="C14" s="96" t="s">
        <v>213</v>
      </c>
      <c r="D14" t="s">
        <v>214</v>
      </c>
    </row>
    <row r="15" spans="1:4" x14ac:dyDescent="0.45">
      <c r="A15" s="96" t="s">
        <v>215</v>
      </c>
      <c r="B15" s="98">
        <v>0.2</v>
      </c>
      <c r="C15" s="96" t="s">
        <v>216</v>
      </c>
      <c r="D15" t="s">
        <v>217</v>
      </c>
    </row>
    <row r="16" spans="1:4" x14ac:dyDescent="0.45">
      <c r="A16" s="96" t="s">
        <v>218</v>
      </c>
      <c r="B16" s="98">
        <v>0.2</v>
      </c>
      <c r="C16" s="96" t="s">
        <v>219</v>
      </c>
      <c r="D16" t="s">
        <v>220</v>
      </c>
    </row>
    <row r="17" spans="1:4" x14ac:dyDescent="0.45">
      <c r="A17" s="95" t="s">
        <v>221</v>
      </c>
      <c r="B17" s="99">
        <f>SUM(B12:B16)</f>
        <v>1</v>
      </c>
      <c r="C17" s="95" t="s">
        <v>222</v>
      </c>
    </row>
    <row r="19" spans="1:4" ht="15.75" customHeight="1" x14ac:dyDescent="0.5">
      <c r="A19" s="155" t="s">
        <v>223</v>
      </c>
      <c r="B19" s="147"/>
      <c r="C19" s="147"/>
    </row>
    <row r="20" spans="1:4" x14ac:dyDescent="0.45">
      <c r="A20" s="95" t="s">
        <v>224</v>
      </c>
      <c r="B20" s="95" t="s">
        <v>18</v>
      </c>
      <c r="C20" s="95" t="s">
        <v>197</v>
      </c>
      <c r="D20" s="131" t="s">
        <v>205</v>
      </c>
    </row>
    <row r="21" spans="1:4" x14ac:dyDescent="0.45">
      <c r="A21" s="96" t="s">
        <v>225</v>
      </c>
      <c r="B21" s="98">
        <v>0.4</v>
      </c>
      <c r="C21" s="96" t="s">
        <v>226</v>
      </c>
      <c r="D21" t="s">
        <v>227</v>
      </c>
    </row>
    <row r="22" spans="1:4" x14ac:dyDescent="0.45">
      <c r="A22" s="96" t="s">
        <v>228</v>
      </c>
      <c r="B22" s="98">
        <v>0.4</v>
      </c>
      <c r="C22" s="96" t="s">
        <v>229</v>
      </c>
      <c r="D22" t="s">
        <v>230</v>
      </c>
    </row>
    <row r="23" spans="1:4" x14ac:dyDescent="0.45">
      <c r="A23" s="96" t="s">
        <v>231</v>
      </c>
      <c r="B23" s="98">
        <v>0.2</v>
      </c>
      <c r="C23" s="96" t="s">
        <v>232</v>
      </c>
      <c r="D23" t="s">
        <v>233</v>
      </c>
    </row>
    <row r="24" spans="1:4" x14ac:dyDescent="0.45">
      <c r="A24" s="95" t="s">
        <v>221</v>
      </c>
      <c r="B24" s="99">
        <f>SUM(B21:B23)</f>
        <v>1</v>
      </c>
    </row>
    <row r="26" spans="1:4" ht="15.75" customHeight="1" x14ac:dyDescent="0.5">
      <c r="A26" s="155" t="s">
        <v>234</v>
      </c>
      <c r="B26" s="147"/>
      <c r="C26" s="147"/>
    </row>
    <row r="27" spans="1:4" x14ac:dyDescent="0.45">
      <c r="A27" s="95" t="s">
        <v>195</v>
      </c>
      <c r="B27" s="95" t="s">
        <v>196</v>
      </c>
      <c r="C27" s="95" t="s">
        <v>197</v>
      </c>
    </row>
    <row r="28" spans="1:4" x14ac:dyDescent="0.45">
      <c r="A28" s="96" t="s">
        <v>235</v>
      </c>
      <c r="B28" s="135">
        <v>5</v>
      </c>
      <c r="C28" s="96" t="s">
        <v>236</v>
      </c>
    </row>
    <row r="29" spans="1:4" hidden="1" x14ac:dyDescent="0.45">
      <c r="A29" s="132" t="s">
        <v>237</v>
      </c>
      <c r="B29" s="132" t="s">
        <v>238</v>
      </c>
      <c r="C29" s="132" t="s">
        <v>239</v>
      </c>
    </row>
    <row r="31" spans="1:4" ht="15.75" customHeight="1" x14ac:dyDescent="0.5">
      <c r="A31" s="155" t="s">
        <v>240</v>
      </c>
      <c r="B31" s="147"/>
      <c r="C31" s="147"/>
    </row>
    <row r="32" spans="1:4" x14ac:dyDescent="0.45">
      <c r="A32" s="95" t="s">
        <v>241</v>
      </c>
      <c r="B32" s="95" t="s">
        <v>242</v>
      </c>
      <c r="C32" s="95" t="s">
        <v>243</v>
      </c>
    </row>
    <row r="33" spans="1:3" x14ac:dyDescent="0.45">
      <c r="A33" s="96" t="s">
        <v>244</v>
      </c>
      <c r="B33" s="97" t="s">
        <v>245</v>
      </c>
      <c r="C33" s="100" t="s">
        <v>243</v>
      </c>
    </row>
    <row r="34" spans="1:3" x14ac:dyDescent="0.45">
      <c r="A34" s="96" t="s">
        <v>246</v>
      </c>
      <c r="B34" s="97" t="s">
        <v>247</v>
      </c>
      <c r="C34" s="101" t="s">
        <v>243</v>
      </c>
    </row>
    <row r="35" spans="1:3" x14ac:dyDescent="0.45">
      <c r="A35" s="96" t="s">
        <v>248</v>
      </c>
      <c r="B35" s="97" t="s">
        <v>249</v>
      </c>
      <c r="C35" s="102" t="s">
        <v>243</v>
      </c>
    </row>
    <row r="36" spans="1:3" x14ac:dyDescent="0.45">
      <c r="A36" s="96" t="s">
        <v>250</v>
      </c>
      <c r="B36" s="97" t="s">
        <v>251</v>
      </c>
      <c r="C36" s="103" t="s">
        <v>243</v>
      </c>
    </row>
    <row r="37" spans="1:3" x14ac:dyDescent="0.45">
      <c r="A37" s="96" t="s">
        <v>252</v>
      </c>
      <c r="B37" s="97" t="s">
        <v>253</v>
      </c>
      <c r="C37" s="104" t="s">
        <v>243</v>
      </c>
    </row>
    <row r="39" spans="1:3" ht="15.75" customHeight="1" x14ac:dyDescent="0.5">
      <c r="A39" s="173" t="s">
        <v>254</v>
      </c>
      <c r="B39" s="147"/>
      <c r="C39" s="147"/>
    </row>
    <row r="40" spans="1:3" x14ac:dyDescent="0.45">
      <c r="A40" s="160" t="s">
        <v>255</v>
      </c>
      <c r="B40" s="147"/>
      <c r="C40" s="147"/>
    </row>
    <row r="41" spans="1:3" x14ac:dyDescent="0.45">
      <c r="A41" s="113" t="s">
        <v>195</v>
      </c>
      <c r="B41" s="113" t="s">
        <v>256</v>
      </c>
      <c r="C41" s="113" t="s">
        <v>197</v>
      </c>
    </row>
    <row r="42" spans="1:3" x14ac:dyDescent="0.45">
      <c r="A42" s="96" t="s">
        <v>257</v>
      </c>
      <c r="B42" s="114">
        <v>1</v>
      </c>
      <c r="C42" s="96" t="s">
        <v>258</v>
      </c>
    </row>
    <row r="43" spans="1:3" x14ac:dyDescent="0.45">
      <c r="A43" s="96" t="s">
        <v>259</v>
      </c>
      <c r="B43" s="114">
        <v>0.95</v>
      </c>
      <c r="C43" s="96" t="s">
        <v>260</v>
      </c>
    </row>
    <row r="44" spans="1:3" x14ac:dyDescent="0.45">
      <c r="A44" s="96" t="s">
        <v>261</v>
      </c>
      <c r="B44" s="114">
        <v>0.9</v>
      </c>
      <c r="C44" s="96" t="s">
        <v>262</v>
      </c>
    </row>
    <row r="45" spans="1:3" x14ac:dyDescent="0.45">
      <c r="A45" s="96" t="s">
        <v>263</v>
      </c>
      <c r="B45" s="114">
        <v>1</v>
      </c>
      <c r="C45" s="96" t="s">
        <v>264</v>
      </c>
    </row>
    <row r="46" spans="1:3" x14ac:dyDescent="0.45">
      <c r="A46" s="96" t="s">
        <v>265</v>
      </c>
      <c r="B46" s="114">
        <v>0.95</v>
      </c>
      <c r="C46" s="96" t="s">
        <v>266</v>
      </c>
    </row>
    <row r="47" spans="1:3" x14ac:dyDescent="0.45">
      <c r="A47" s="96" t="s">
        <v>267</v>
      </c>
      <c r="B47" s="114">
        <v>0.9</v>
      </c>
      <c r="C47" s="96" t="s">
        <v>268</v>
      </c>
    </row>
    <row r="48" spans="1:3" x14ac:dyDescent="0.45">
      <c r="A48" s="96" t="s">
        <v>269</v>
      </c>
      <c r="B48" s="115">
        <v>90</v>
      </c>
      <c r="C48" s="96" t="s">
        <v>270</v>
      </c>
    </row>
    <row r="49" spans="1:3" x14ac:dyDescent="0.45">
      <c r="A49" s="96" t="s">
        <v>271</v>
      </c>
      <c r="B49" s="115">
        <v>75</v>
      </c>
      <c r="C49" s="96" t="s">
        <v>272</v>
      </c>
    </row>
    <row r="50" spans="1:3" x14ac:dyDescent="0.45">
      <c r="A50" s="96" t="s">
        <v>273</v>
      </c>
      <c r="B50" s="115">
        <v>65</v>
      </c>
      <c r="C50" s="96" t="s">
        <v>274</v>
      </c>
    </row>
    <row r="51" spans="1:3" x14ac:dyDescent="0.45">
      <c r="A51" s="96" t="s">
        <v>275</v>
      </c>
      <c r="B51" s="115">
        <v>90</v>
      </c>
      <c r="C51" s="96" t="s">
        <v>276</v>
      </c>
    </row>
    <row r="52" spans="1:3" x14ac:dyDescent="0.45">
      <c r="A52" s="96" t="s">
        <v>277</v>
      </c>
      <c r="B52" s="115">
        <v>80</v>
      </c>
      <c r="C52" s="96" t="s">
        <v>278</v>
      </c>
    </row>
    <row r="53" spans="1:3" x14ac:dyDescent="0.45">
      <c r="A53" s="96" t="s">
        <v>279</v>
      </c>
      <c r="B53" s="115">
        <v>70</v>
      </c>
      <c r="C53" s="96" t="s">
        <v>280</v>
      </c>
    </row>
    <row r="54" spans="1:3" x14ac:dyDescent="0.45">
      <c r="A54" s="96" t="s">
        <v>281</v>
      </c>
      <c r="B54" s="115">
        <v>80</v>
      </c>
      <c r="C54" s="96" t="s">
        <v>282</v>
      </c>
    </row>
    <row r="55" spans="1:3" x14ac:dyDescent="0.45">
      <c r="A55" s="96" t="s">
        <v>283</v>
      </c>
      <c r="B55" s="115">
        <v>60</v>
      </c>
      <c r="C55" s="96" t="s">
        <v>284</v>
      </c>
    </row>
    <row r="56" spans="1:3" x14ac:dyDescent="0.45">
      <c r="A56" s="96" t="s">
        <v>285</v>
      </c>
      <c r="B56" s="115">
        <v>50</v>
      </c>
      <c r="C56" s="96" t="s">
        <v>286</v>
      </c>
    </row>
    <row r="57" spans="1:3" x14ac:dyDescent="0.45">
      <c r="A57" s="96" t="s">
        <v>287</v>
      </c>
      <c r="B57" s="115">
        <v>90</v>
      </c>
      <c r="C57" s="96" t="s">
        <v>288</v>
      </c>
    </row>
    <row r="58" spans="1:3" x14ac:dyDescent="0.45">
      <c r="A58" s="96" t="s">
        <v>289</v>
      </c>
      <c r="B58" s="115">
        <v>80</v>
      </c>
      <c r="C58" s="96" t="s">
        <v>290</v>
      </c>
    </row>
    <row r="59" spans="1:3" x14ac:dyDescent="0.45">
      <c r="A59" s="96" t="s">
        <v>291</v>
      </c>
      <c r="B59" s="115">
        <v>70</v>
      </c>
      <c r="C59" s="96" t="s">
        <v>292</v>
      </c>
    </row>
    <row r="62" spans="1:3" ht="15.75" customHeight="1" x14ac:dyDescent="0.45">
      <c r="A62" s="172" t="s">
        <v>293</v>
      </c>
      <c r="B62" s="147"/>
      <c r="C62" s="147"/>
    </row>
    <row r="63" spans="1:3" x14ac:dyDescent="0.45">
      <c r="A63" s="169" t="s">
        <v>294</v>
      </c>
      <c r="B63" s="147"/>
      <c r="C63" s="147"/>
    </row>
    <row r="64" spans="1:3" x14ac:dyDescent="0.45">
      <c r="A64" s="132" t="s">
        <v>238</v>
      </c>
      <c r="B64" s="132" t="s">
        <v>238</v>
      </c>
      <c r="C64" s="132" t="s">
        <v>238</v>
      </c>
    </row>
    <row r="65" spans="1:4" x14ac:dyDescent="0.45">
      <c r="A65" s="132" t="s">
        <v>238</v>
      </c>
      <c r="B65" s="133" t="s">
        <v>238</v>
      </c>
      <c r="C65" s="132" t="s">
        <v>238</v>
      </c>
    </row>
    <row r="66" spans="1:4" x14ac:dyDescent="0.45">
      <c r="A66" s="132" t="s">
        <v>238</v>
      </c>
      <c r="B66" s="133" t="s">
        <v>238</v>
      </c>
      <c r="C66" s="132" t="s">
        <v>238</v>
      </c>
    </row>
    <row r="67" spans="1:4" x14ac:dyDescent="0.45">
      <c r="A67" s="132" t="s">
        <v>238</v>
      </c>
      <c r="B67" s="134" t="s">
        <v>238</v>
      </c>
      <c r="C67" s="132" t="s">
        <v>238</v>
      </c>
    </row>
    <row r="69" spans="1:4" ht="15.75" customHeight="1" x14ac:dyDescent="0.5">
      <c r="A69" s="171" t="s">
        <v>295</v>
      </c>
      <c r="B69" s="147"/>
      <c r="C69" s="147"/>
      <c r="D69" s="147"/>
    </row>
    <row r="70" spans="1:4" x14ac:dyDescent="0.45">
      <c r="A70" s="160" t="s">
        <v>296</v>
      </c>
      <c r="B70" s="147"/>
      <c r="C70" s="147"/>
      <c r="D70" s="147"/>
    </row>
    <row r="71" spans="1:4" x14ac:dyDescent="0.45">
      <c r="A71" s="118" t="s">
        <v>297</v>
      </c>
      <c r="B71" s="118" t="s">
        <v>298</v>
      </c>
      <c r="C71" s="118" t="s">
        <v>299</v>
      </c>
      <c r="D71" s="118" t="s">
        <v>300</v>
      </c>
    </row>
    <row r="72" spans="1:4" x14ac:dyDescent="0.45">
      <c r="A72" s="96">
        <v>1</v>
      </c>
      <c r="B72" s="119" t="s">
        <v>301</v>
      </c>
      <c r="C72" s="119" t="s">
        <v>302</v>
      </c>
      <c r="D72" s="96" t="s">
        <v>303</v>
      </c>
    </row>
    <row r="73" spans="1:4" x14ac:dyDescent="0.45">
      <c r="A73" s="96">
        <v>2</v>
      </c>
      <c r="B73" s="119" t="s">
        <v>304</v>
      </c>
      <c r="C73" s="119" t="s">
        <v>305</v>
      </c>
      <c r="D73" s="96" t="s">
        <v>306</v>
      </c>
    </row>
    <row r="74" spans="1:4" x14ac:dyDescent="0.45">
      <c r="A74" s="96">
        <v>3</v>
      </c>
      <c r="B74" s="119" t="s">
        <v>307</v>
      </c>
      <c r="C74" s="119" t="s">
        <v>308</v>
      </c>
      <c r="D74" s="96" t="s">
        <v>309</v>
      </c>
    </row>
    <row r="75" spans="1:4" x14ac:dyDescent="0.45">
      <c r="A75" s="96">
        <v>4</v>
      </c>
      <c r="B75" s="119" t="s">
        <v>310</v>
      </c>
      <c r="C75" s="119" t="s">
        <v>311</v>
      </c>
      <c r="D75" s="96" t="s">
        <v>312</v>
      </c>
    </row>
    <row r="76" spans="1:4" x14ac:dyDescent="0.45">
      <c r="A76" s="96">
        <v>5</v>
      </c>
      <c r="B76" s="119" t="s">
        <v>313</v>
      </c>
      <c r="C76" s="119" t="s">
        <v>314</v>
      </c>
      <c r="D76" s="96" t="s">
        <v>315</v>
      </c>
    </row>
    <row r="79" spans="1:4" ht="15.75" customHeight="1" x14ac:dyDescent="0.5">
      <c r="A79" s="171" t="s">
        <v>316</v>
      </c>
      <c r="B79" s="147"/>
      <c r="C79" s="147"/>
      <c r="D79" s="147"/>
    </row>
    <row r="80" spans="1:4" x14ac:dyDescent="0.45">
      <c r="A80" s="160" t="s">
        <v>317</v>
      </c>
      <c r="B80" s="147"/>
      <c r="C80" s="147"/>
      <c r="D80" s="147"/>
    </row>
    <row r="81" spans="1:4" x14ac:dyDescent="0.45">
      <c r="A81" s="118" t="s">
        <v>318</v>
      </c>
      <c r="B81" s="118" t="s">
        <v>298</v>
      </c>
      <c r="C81" s="118" t="s">
        <v>319</v>
      </c>
      <c r="D81" s="118" t="s">
        <v>320</v>
      </c>
    </row>
    <row r="82" spans="1:4" x14ac:dyDescent="0.45">
      <c r="A82" s="96">
        <v>1</v>
      </c>
      <c r="B82" s="119" t="s">
        <v>321</v>
      </c>
      <c r="C82" s="120" t="s">
        <v>322</v>
      </c>
      <c r="D82" s="121" t="s">
        <v>323</v>
      </c>
    </row>
    <row r="83" spans="1:4" x14ac:dyDescent="0.45">
      <c r="A83" s="96">
        <v>2</v>
      </c>
      <c r="B83" s="119" t="s">
        <v>324</v>
      </c>
      <c r="C83" s="120" t="s">
        <v>325</v>
      </c>
      <c r="D83" s="121" t="s">
        <v>326</v>
      </c>
    </row>
    <row r="84" spans="1:4" x14ac:dyDescent="0.45">
      <c r="A84" s="96">
        <v>3</v>
      </c>
      <c r="B84" s="119" t="s">
        <v>327</v>
      </c>
      <c r="C84" s="120" t="s">
        <v>328</v>
      </c>
      <c r="D84" s="121" t="s">
        <v>329</v>
      </c>
    </row>
    <row r="85" spans="1:4" x14ac:dyDescent="0.45">
      <c r="A85" s="96">
        <v>4</v>
      </c>
      <c r="B85" s="119" t="s">
        <v>330</v>
      </c>
      <c r="C85" s="120" t="s">
        <v>331</v>
      </c>
      <c r="D85" s="121" t="s">
        <v>332</v>
      </c>
    </row>
    <row r="86" spans="1:4" x14ac:dyDescent="0.45">
      <c r="A86" s="96">
        <v>5</v>
      </c>
      <c r="B86" s="119" t="s">
        <v>333</v>
      </c>
      <c r="C86" s="120" t="s">
        <v>334</v>
      </c>
      <c r="D86" s="121" t="s">
        <v>335</v>
      </c>
    </row>
    <row r="89" spans="1:4" ht="15.75" customHeight="1" x14ac:dyDescent="0.5">
      <c r="A89" s="171" t="s">
        <v>336</v>
      </c>
      <c r="B89" s="147"/>
      <c r="C89" s="147"/>
      <c r="D89" s="147"/>
    </row>
    <row r="90" spans="1:4" x14ac:dyDescent="0.45">
      <c r="A90" s="160" t="s">
        <v>337</v>
      </c>
      <c r="B90" s="147"/>
      <c r="C90" s="147"/>
      <c r="D90" s="147"/>
    </row>
    <row r="91" spans="1:4" x14ac:dyDescent="0.45">
      <c r="A91" s="118" t="s">
        <v>338</v>
      </c>
      <c r="B91" s="118" t="s">
        <v>339</v>
      </c>
      <c r="C91" s="118" t="s">
        <v>340</v>
      </c>
      <c r="D91" s="118" t="s">
        <v>341</v>
      </c>
    </row>
    <row r="92" spans="1:4" x14ac:dyDescent="0.45">
      <c r="A92" s="96" t="s">
        <v>40</v>
      </c>
      <c r="B92" s="121">
        <v>1</v>
      </c>
      <c r="C92" s="121">
        <v>5</v>
      </c>
      <c r="D92" s="96" t="s">
        <v>342</v>
      </c>
    </row>
    <row r="93" spans="1:4" x14ac:dyDescent="0.45">
      <c r="A93" s="96" t="s">
        <v>39</v>
      </c>
      <c r="B93" s="121">
        <v>6</v>
      </c>
      <c r="C93" s="121">
        <v>11</v>
      </c>
      <c r="D93" s="96" t="s">
        <v>343</v>
      </c>
    </row>
    <row r="94" spans="1:4" x14ac:dyDescent="0.45">
      <c r="A94" s="96" t="s">
        <v>38</v>
      </c>
      <c r="B94" s="121">
        <v>12</v>
      </c>
      <c r="C94" s="121">
        <v>15</v>
      </c>
      <c r="D94" s="96" t="s">
        <v>344</v>
      </c>
    </row>
    <row r="95" spans="1:4" x14ac:dyDescent="0.45">
      <c r="A95" s="96" t="s">
        <v>37</v>
      </c>
      <c r="B95" s="121">
        <v>16</v>
      </c>
      <c r="C95" s="121">
        <v>19</v>
      </c>
      <c r="D95" s="96" t="s">
        <v>345</v>
      </c>
    </row>
    <row r="96" spans="1:4" x14ac:dyDescent="0.45">
      <c r="A96" s="96" t="s">
        <v>36</v>
      </c>
      <c r="B96" s="121">
        <v>20</v>
      </c>
      <c r="C96" s="121">
        <v>25</v>
      </c>
      <c r="D96" s="96" t="s">
        <v>346</v>
      </c>
    </row>
  </sheetData>
  <mergeCells count="17">
    <mergeCell ref="A89:D89"/>
    <mergeCell ref="A63:C63"/>
    <mergeCell ref="A19:C19"/>
    <mergeCell ref="A90:D90"/>
    <mergeCell ref="A2:C2"/>
    <mergeCell ref="A1:C1"/>
    <mergeCell ref="A69:D69"/>
    <mergeCell ref="A31:C31"/>
    <mergeCell ref="A40:C40"/>
    <mergeCell ref="A62:C62"/>
    <mergeCell ref="A39:C39"/>
    <mergeCell ref="A4:C4"/>
    <mergeCell ref="A26:C26"/>
    <mergeCell ref="A10:C10"/>
    <mergeCell ref="A80:D80"/>
    <mergeCell ref="A70:D70"/>
    <mergeCell ref="A79:D7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B1F3A"/>
  </sheetPr>
  <dimension ref="A2:P151"/>
  <sheetViews>
    <sheetView showGridLines="0" topLeftCell="A21" zoomScale="70" zoomScaleNormal="70" workbookViewId="0">
      <selection activeCell="F24" sqref="A19:H24"/>
    </sheetView>
  </sheetViews>
  <sheetFormatPr defaultColWidth="8.59765625" defaultRowHeight="14.25" x14ac:dyDescent="0.45"/>
  <cols>
    <col min="1" max="1" width="26" customWidth="1"/>
    <col min="2" max="2" width="30" customWidth="1"/>
    <col min="3" max="3" width="40" customWidth="1"/>
    <col min="4" max="4" width="18.53125" customWidth="1"/>
    <col min="5" max="5" width="25" customWidth="1"/>
    <col min="6" max="6" width="40" customWidth="1"/>
    <col min="11" max="11" width="8.59765625" customWidth="1"/>
    <col min="12" max="12" width="34" bestFit="1" customWidth="1"/>
    <col min="13" max="13" width="40.59765625" bestFit="1" customWidth="1"/>
    <col min="14" max="14" width="22.86328125" bestFit="1" customWidth="1"/>
    <col min="15" max="15" width="21.1328125" bestFit="1" customWidth="1"/>
    <col min="16" max="16" width="22.6640625" bestFit="1" customWidth="1"/>
  </cols>
  <sheetData>
    <row r="2" spans="1:16" ht="19.5" customHeight="1" x14ac:dyDescent="0.5">
      <c r="A2" s="13" t="s">
        <v>347</v>
      </c>
      <c r="B2" s="13"/>
      <c r="C2" s="13"/>
      <c r="D2" s="13"/>
      <c r="E2" s="13"/>
    </row>
    <row r="3" spans="1:16" ht="30" customHeight="1" x14ac:dyDescent="0.45">
      <c r="A3" s="146" t="s">
        <v>348</v>
      </c>
      <c r="B3" s="147"/>
      <c r="C3" s="147"/>
      <c r="D3" s="147"/>
      <c r="E3" s="147"/>
    </row>
    <row r="5" spans="1:16" ht="15.75" customHeight="1" x14ac:dyDescent="0.45">
      <c r="A5" s="185" t="s">
        <v>349</v>
      </c>
      <c r="B5" s="176"/>
      <c r="C5" s="176"/>
      <c r="D5" s="176"/>
      <c r="E5" s="178"/>
      <c r="L5" s="143" t="s">
        <v>600</v>
      </c>
      <c r="M5" s="143" t="s">
        <v>601</v>
      </c>
      <c r="N5" s="143" t="s">
        <v>602</v>
      </c>
      <c r="O5" s="143" t="s">
        <v>603</v>
      </c>
      <c r="P5" s="143" t="s">
        <v>604</v>
      </c>
    </row>
    <row r="6" spans="1:16" ht="18" customHeight="1" x14ac:dyDescent="0.45">
      <c r="A6" s="14" t="s">
        <v>350</v>
      </c>
      <c r="B6" s="14" t="s">
        <v>351</v>
      </c>
      <c r="C6" s="14" t="s">
        <v>352</v>
      </c>
      <c r="D6" s="14" t="s">
        <v>353</v>
      </c>
      <c r="E6" s="14" t="s">
        <v>354</v>
      </c>
      <c r="L6" s="174" t="s">
        <v>605</v>
      </c>
      <c r="M6" s="144" t="s">
        <v>606</v>
      </c>
      <c r="N6" s="145" t="s">
        <v>607</v>
      </c>
      <c r="O6" s="145" t="s">
        <v>608</v>
      </c>
      <c r="P6" s="145" t="s">
        <v>609</v>
      </c>
    </row>
    <row r="7" spans="1:16" ht="45.75" customHeight="1" x14ac:dyDescent="0.45">
      <c r="A7" s="15" t="s">
        <v>206</v>
      </c>
      <c r="B7" s="16" t="s">
        <v>355</v>
      </c>
      <c r="C7" s="16" t="s">
        <v>356</v>
      </c>
      <c r="D7" s="17">
        <f>Config!B12</f>
        <v>0.2</v>
      </c>
      <c r="E7" s="18" t="s">
        <v>357</v>
      </c>
      <c r="L7" s="174"/>
      <c r="M7" s="144" t="s">
        <v>12</v>
      </c>
      <c r="N7" s="145" t="s">
        <v>610</v>
      </c>
      <c r="O7" s="145" t="s">
        <v>611</v>
      </c>
      <c r="P7" s="145" t="s">
        <v>612</v>
      </c>
    </row>
    <row r="8" spans="1:16" ht="45.75" customHeight="1" x14ac:dyDescent="0.45">
      <c r="A8" s="19" t="s">
        <v>209</v>
      </c>
      <c r="B8" s="20" t="s">
        <v>358</v>
      </c>
      <c r="C8" s="20" t="s">
        <v>359</v>
      </c>
      <c r="D8" s="90">
        <f>Config!B13</f>
        <v>0.2</v>
      </c>
      <c r="E8" s="21" t="s">
        <v>360</v>
      </c>
      <c r="L8" s="174" t="s">
        <v>613</v>
      </c>
      <c r="M8" s="144" t="s">
        <v>614</v>
      </c>
      <c r="N8" s="145" t="s">
        <v>615</v>
      </c>
      <c r="O8" s="145" t="s">
        <v>616</v>
      </c>
      <c r="P8" s="145" t="s">
        <v>617</v>
      </c>
    </row>
    <row r="9" spans="1:16" ht="45.75" customHeight="1" x14ac:dyDescent="0.45">
      <c r="A9" s="15" t="s">
        <v>361</v>
      </c>
      <c r="B9" s="16" t="s">
        <v>362</v>
      </c>
      <c r="C9" s="16" t="s">
        <v>363</v>
      </c>
      <c r="D9" s="90">
        <f>Config!B14</f>
        <v>0.2</v>
      </c>
      <c r="E9" s="18" t="s">
        <v>364</v>
      </c>
      <c r="L9" s="174"/>
      <c r="M9" s="144" t="s">
        <v>618</v>
      </c>
      <c r="N9" s="145" t="s">
        <v>619</v>
      </c>
      <c r="O9" s="145" t="s">
        <v>620</v>
      </c>
      <c r="P9" s="145" t="s">
        <v>621</v>
      </c>
    </row>
    <row r="10" spans="1:16" ht="45.75" customHeight="1" x14ac:dyDescent="0.45">
      <c r="A10" s="19" t="s">
        <v>365</v>
      </c>
      <c r="B10" s="20" t="s">
        <v>366</v>
      </c>
      <c r="C10" s="20" t="s">
        <v>367</v>
      </c>
      <c r="D10" s="90">
        <f>Config!B15</f>
        <v>0.2</v>
      </c>
      <c r="E10" s="21" t="s">
        <v>368</v>
      </c>
      <c r="L10" s="174" t="s">
        <v>622</v>
      </c>
      <c r="M10" s="144" t="s">
        <v>623</v>
      </c>
      <c r="N10" s="145" t="s">
        <v>624</v>
      </c>
      <c r="O10" s="145" t="s">
        <v>625</v>
      </c>
      <c r="P10" s="145" t="s">
        <v>626</v>
      </c>
    </row>
    <row r="11" spans="1:16" ht="45.75" customHeight="1" x14ac:dyDescent="0.45">
      <c r="A11" s="15" t="s">
        <v>369</v>
      </c>
      <c r="B11" s="16" t="s">
        <v>370</v>
      </c>
      <c r="C11" s="16" t="s">
        <v>371</v>
      </c>
      <c r="D11" s="90">
        <f>Config!B16</f>
        <v>0.2</v>
      </c>
      <c r="E11" s="18"/>
      <c r="L11" s="174"/>
      <c r="M11" s="144" t="s">
        <v>627</v>
      </c>
      <c r="N11" s="145" t="s">
        <v>628</v>
      </c>
      <c r="O11" s="145" t="s">
        <v>629</v>
      </c>
      <c r="P11" s="145" t="s">
        <v>621</v>
      </c>
    </row>
    <row r="12" spans="1:16" x14ac:dyDescent="0.45">
      <c r="L12" s="174" t="s">
        <v>630</v>
      </c>
      <c r="M12" s="144" t="s">
        <v>631</v>
      </c>
      <c r="N12" s="145" t="s">
        <v>632</v>
      </c>
      <c r="O12" s="145" t="s">
        <v>633</v>
      </c>
      <c r="P12" s="145" t="s">
        <v>634</v>
      </c>
    </row>
    <row r="13" spans="1:16" ht="15" customHeight="1" x14ac:dyDescent="0.45">
      <c r="A13" s="22" t="s">
        <v>372</v>
      </c>
      <c r="L13" s="174"/>
      <c r="M13" s="144" t="s">
        <v>635</v>
      </c>
      <c r="N13" s="145" t="s">
        <v>636</v>
      </c>
      <c r="O13" s="145" t="s">
        <v>637</v>
      </c>
      <c r="P13" s="145" t="s">
        <v>617</v>
      </c>
    </row>
    <row r="14" spans="1:16" ht="15" customHeight="1" x14ac:dyDescent="0.45">
      <c r="A14" s="189" t="str">
        <f>"PHS = (FinancialScore x "&amp;(Config!B12*100)&amp;"%) + (ScheduleScore x "&amp;(Config!B13*100)&amp;"%) + (SRI x "&amp;(Config!B14*100)&amp;"%) + (PEI x "&amp;(Config!B15*100)&amp;"%) + (CRI x "&amp;(Config!B16*100)&amp;"%)"</f>
        <v>PHS = (FinancialScore x 20%) + (ScheduleScore x 20%) + (SRI x 20%) + (PEI x 20%) + (CRI x 20%)</v>
      </c>
      <c r="B14" s="147"/>
      <c r="C14" s="147"/>
      <c r="D14" s="147"/>
      <c r="E14" s="147"/>
      <c r="L14" s="174" t="s">
        <v>638</v>
      </c>
      <c r="M14" s="144" t="s">
        <v>639</v>
      </c>
      <c r="N14" s="145" t="s">
        <v>640</v>
      </c>
      <c r="O14" s="145" t="s">
        <v>641</v>
      </c>
      <c r="P14" s="145" t="s">
        <v>642</v>
      </c>
    </row>
    <row r="15" spans="1:16" ht="24" customHeight="1" x14ac:dyDescent="0.45">
      <c r="A15" s="203" t="s">
        <v>373</v>
      </c>
      <c r="B15" s="147"/>
      <c r="C15" s="147"/>
      <c r="D15" s="147"/>
      <c r="E15" s="147"/>
      <c r="L15" s="174"/>
      <c r="M15" s="144" t="s">
        <v>643</v>
      </c>
      <c r="N15" s="145" t="s">
        <v>644</v>
      </c>
      <c r="O15" s="145" t="s">
        <v>620</v>
      </c>
      <c r="P15" s="145" t="s">
        <v>621</v>
      </c>
    </row>
    <row r="16" spans="1:16" x14ac:dyDescent="0.45">
      <c r="L16" s="174" t="s">
        <v>645</v>
      </c>
      <c r="M16" s="144" t="s">
        <v>646</v>
      </c>
      <c r="N16" s="145" t="s">
        <v>647</v>
      </c>
      <c r="O16" s="145" t="s">
        <v>648</v>
      </c>
      <c r="P16" s="145" t="s">
        <v>649</v>
      </c>
    </row>
    <row r="17" spans="1:16" ht="15.75" customHeight="1" x14ac:dyDescent="0.45">
      <c r="A17" s="183" t="s">
        <v>374</v>
      </c>
      <c r="B17" s="184"/>
      <c r="C17" s="184"/>
      <c r="D17" s="184"/>
      <c r="E17" s="184"/>
      <c r="F17" s="184"/>
      <c r="G17" s="184"/>
      <c r="H17" s="184"/>
      <c r="L17" s="174"/>
      <c r="M17" s="144" t="s">
        <v>650</v>
      </c>
      <c r="N17" s="145" t="s">
        <v>651</v>
      </c>
      <c r="O17" s="145" t="s">
        <v>652</v>
      </c>
      <c r="P17" s="145" t="s">
        <v>653</v>
      </c>
    </row>
    <row r="18" spans="1:16" ht="15.75" customHeight="1" x14ac:dyDescent="0.45">
      <c r="A18" s="14" t="s">
        <v>195</v>
      </c>
      <c r="B18" s="14" t="s">
        <v>18</v>
      </c>
      <c r="C18" s="177" t="s">
        <v>375</v>
      </c>
      <c r="D18" s="176"/>
      <c r="E18" s="178"/>
      <c r="F18" s="177" t="s">
        <v>205</v>
      </c>
      <c r="G18" s="176"/>
      <c r="H18" s="178"/>
      <c r="L18" s="174" t="s">
        <v>654</v>
      </c>
      <c r="M18" s="144" t="s">
        <v>655</v>
      </c>
      <c r="N18" s="145" t="s">
        <v>628</v>
      </c>
      <c r="O18" s="145" t="s">
        <v>629</v>
      </c>
      <c r="P18" s="145" t="s">
        <v>621</v>
      </c>
    </row>
    <row r="19" spans="1:16" ht="33.75" customHeight="1" x14ac:dyDescent="0.45">
      <c r="A19" s="15" t="s">
        <v>376</v>
      </c>
      <c r="B19" s="90">
        <v>0.25</v>
      </c>
      <c r="C19" s="179" t="s">
        <v>377</v>
      </c>
      <c r="D19" s="176"/>
      <c r="E19" s="176"/>
      <c r="F19" s="179" t="s">
        <v>378</v>
      </c>
      <c r="G19" s="176"/>
      <c r="H19" s="176"/>
      <c r="L19" s="174"/>
      <c r="M19" s="144" t="s">
        <v>656</v>
      </c>
      <c r="N19" s="145" t="s">
        <v>657</v>
      </c>
      <c r="O19" s="145" t="s">
        <v>620</v>
      </c>
      <c r="P19" s="145" t="s">
        <v>621</v>
      </c>
    </row>
    <row r="20" spans="1:16" ht="33.75" customHeight="1" x14ac:dyDescent="0.45">
      <c r="A20" s="19" t="s">
        <v>379</v>
      </c>
      <c r="B20" s="91">
        <v>0.2</v>
      </c>
      <c r="C20" s="180" t="s">
        <v>380</v>
      </c>
      <c r="D20" s="176"/>
      <c r="E20" s="176"/>
      <c r="F20" s="180" t="s">
        <v>381</v>
      </c>
      <c r="G20" s="176"/>
      <c r="H20" s="176"/>
      <c r="L20" s="174" t="s">
        <v>658</v>
      </c>
      <c r="M20" s="144" t="s">
        <v>659</v>
      </c>
      <c r="N20" s="145" t="s">
        <v>324</v>
      </c>
      <c r="O20" s="145" t="s">
        <v>660</v>
      </c>
      <c r="P20" s="145" t="s">
        <v>330</v>
      </c>
    </row>
    <row r="21" spans="1:16" ht="33.75" customHeight="1" x14ac:dyDescent="0.45">
      <c r="A21" s="15" t="s">
        <v>382</v>
      </c>
      <c r="B21" s="90">
        <v>0.15</v>
      </c>
      <c r="C21" s="179" t="s">
        <v>383</v>
      </c>
      <c r="D21" s="176"/>
      <c r="E21" s="176"/>
      <c r="F21" s="179" t="s">
        <v>384</v>
      </c>
      <c r="G21" s="176"/>
      <c r="H21" s="176"/>
      <c r="L21" s="174"/>
      <c r="M21" s="144" t="s">
        <v>661</v>
      </c>
      <c r="N21" s="145" t="s">
        <v>662</v>
      </c>
      <c r="O21" s="145" t="s">
        <v>663</v>
      </c>
      <c r="P21" s="145" t="s">
        <v>664</v>
      </c>
    </row>
    <row r="22" spans="1:16" ht="33.75" customHeight="1" x14ac:dyDescent="0.45">
      <c r="A22" s="19" t="s">
        <v>385</v>
      </c>
      <c r="B22" s="91">
        <v>0.15</v>
      </c>
      <c r="C22" s="180" t="s">
        <v>386</v>
      </c>
      <c r="D22" s="176"/>
      <c r="E22" s="176"/>
      <c r="F22" s="180" t="s">
        <v>387</v>
      </c>
      <c r="G22" s="176"/>
      <c r="H22" s="176"/>
      <c r="L22" s="174" t="s">
        <v>665</v>
      </c>
      <c r="M22" s="144" t="s">
        <v>666</v>
      </c>
      <c r="N22" s="145" t="s">
        <v>667</v>
      </c>
      <c r="O22" s="145" t="s">
        <v>668</v>
      </c>
      <c r="P22" s="145" t="s">
        <v>669</v>
      </c>
    </row>
    <row r="23" spans="1:16" ht="33.75" customHeight="1" x14ac:dyDescent="0.45">
      <c r="A23" s="15" t="s">
        <v>388</v>
      </c>
      <c r="B23" s="90">
        <v>0.15</v>
      </c>
      <c r="C23" s="179" t="s">
        <v>389</v>
      </c>
      <c r="D23" s="176"/>
      <c r="E23" s="176"/>
      <c r="F23" s="179" t="s">
        <v>390</v>
      </c>
      <c r="G23" s="176"/>
      <c r="H23" s="176"/>
      <c r="L23" s="174"/>
      <c r="M23" s="144" t="s">
        <v>670</v>
      </c>
      <c r="N23" s="145" t="s">
        <v>671</v>
      </c>
      <c r="O23" s="145" t="s">
        <v>672</v>
      </c>
      <c r="P23" s="145" t="s">
        <v>673</v>
      </c>
    </row>
    <row r="24" spans="1:16" ht="33.75" customHeight="1" x14ac:dyDescent="0.45">
      <c r="A24" s="19" t="s">
        <v>391</v>
      </c>
      <c r="B24" s="91">
        <v>0.1</v>
      </c>
      <c r="C24" s="175" t="s">
        <v>20</v>
      </c>
      <c r="D24" s="176"/>
      <c r="E24" s="176"/>
      <c r="F24" s="175" t="s">
        <v>392</v>
      </c>
      <c r="G24" s="176"/>
      <c r="H24" s="176"/>
      <c r="L24" s="174" t="s">
        <v>674</v>
      </c>
      <c r="M24" s="144" t="s">
        <v>675</v>
      </c>
      <c r="N24" s="145" t="s">
        <v>676</v>
      </c>
      <c r="O24" s="145" t="s">
        <v>677</v>
      </c>
      <c r="P24" s="145" t="s">
        <v>678</v>
      </c>
    </row>
    <row r="25" spans="1:16" x14ac:dyDescent="0.45">
      <c r="A25" s="112" t="s">
        <v>393</v>
      </c>
      <c r="B25" s="116">
        <f>SUM(B19:B24)</f>
        <v>1</v>
      </c>
      <c r="C25" s="130" t="s">
        <v>394</v>
      </c>
      <c r="L25" s="174"/>
      <c r="M25" s="144" t="s">
        <v>679</v>
      </c>
      <c r="N25" s="145" t="s">
        <v>680</v>
      </c>
      <c r="O25" s="145" t="s">
        <v>681</v>
      </c>
      <c r="P25" s="145" t="s">
        <v>682</v>
      </c>
    </row>
    <row r="26" spans="1:16" ht="15.75" customHeight="1" x14ac:dyDescent="0.45">
      <c r="A26" s="183" t="s">
        <v>395</v>
      </c>
      <c r="B26" s="184"/>
      <c r="C26" s="184"/>
      <c r="D26" s="184"/>
      <c r="E26" s="184"/>
      <c r="F26" s="184"/>
      <c r="G26" s="184"/>
      <c r="H26" s="184"/>
    </row>
    <row r="27" spans="1:16" ht="15.75" customHeight="1" x14ac:dyDescent="0.45">
      <c r="A27" s="14" t="s">
        <v>195</v>
      </c>
      <c r="B27" s="14" t="s">
        <v>18</v>
      </c>
      <c r="C27" s="177" t="s">
        <v>375</v>
      </c>
      <c r="D27" s="176"/>
      <c r="E27" s="178"/>
      <c r="F27" s="177" t="s">
        <v>205</v>
      </c>
      <c r="G27" s="176"/>
      <c r="H27" s="178"/>
    </row>
    <row r="28" spans="1:16" ht="33.75" customHeight="1" x14ac:dyDescent="0.45">
      <c r="A28" s="15" t="s">
        <v>396</v>
      </c>
      <c r="B28" s="90">
        <v>0.2</v>
      </c>
      <c r="C28" s="179" t="s">
        <v>397</v>
      </c>
      <c r="D28" s="176"/>
      <c r="E28" s="176"/>
      <c r="F28" s="179" t="s">
        <v>398</v>
      </c>
      <c r="G28" s="176"/>
      <c r="H28" s="176"/>
    </row>
    <row r="29" spans="1:16" ht="33.75" customHeight="1" x14ac:dyDescent="0.45">
      <c r="A29" s="19" t="s">
        <v>399</v>
      </c>
      <c r="B29" s="91">
        <v>0.3</v>
      </c>
      <c r="C29" s="180" t="s">
        <v>400</v>
      </c>
      <c r="D29" s="176"/>
      <c r="E29" s="176"/>
      <c r="F29" s="180" t="s">
        <v>401</v>
      </c>
      <c r="G29" s="176"/>
      <c r="H29" s="176"/>
    </row>
    <row r="30" spans="1:16" ht="33.75" customHeight="1" x14ac:dyDescent="0.45">
      <c r="A30" s="15" t="s">
        <v>402</v>
      </c>
      <c r="B30" s="90">
        <v>0.3</v>
      </c>
      <c r="C30" s="179" t="s">
        <v>403</v>
      </c>
      <c r="D30" s="176"/>
      <c r="E30" s="176"/>
      <c r="F30" s="179" t="s">
        <v>404</v>
      </c>
      <c r="G30" s="176"/>
      <c r="H30" s="176"/>
    </row>
    <row r="31" spans="1:16" ht="33.75" customHeight="1" x14ac:dyDescent="0.45">
      <c r="A31" s="19" t="s">
        <v>405</v>
      </c>
      <c r="B31" s="91">
        <v>0.1</v>
      </c>
      <c r="C31" s="180" t="s">
        <v>406</v>
      </c>
      <c r="D31" s="176"/>
      <c r="E31" s="176"/>
      <c r="F31" s="180" t="s">
        <v>407</v>
      </c>
      <c r="G31" s="176"/>
      <c r="H31" s="176"/>
    </row>
    <row r="32" spans="1:16" ht="33.75" customHeight="1" x14ac:dyDescent="0.45">
      <c r="A32" s="15" t="s">
        <v>408</v>
      </c>
      <c r="B32" s="90">
        <v>0.1</v>
      </c>
      <c r="C32" s="201" t="s">
        <v>23</v>
      </c>
      <c r="D32" s="176"/>
      <c r="E32" s="176"/>
      <c r="F32" s="179" t="s">
        <v>409</v>
      </c>
      <c r="G32" s="176"/>
      <c r="H32" s="176"/>
    </row>
    <row r="33" spans="1:8" x14ac:dyDescent="0.45">
      <c r="A33" s="112" t="s">
        <v>410</v>
      </c>
      <c r="B33" s="116">
        <f>SUM(B28:B32)</f>
        <v>1</v>
      </c>
      <c r="C33" s="130" t="s">
        <v>394</v>
      </c>
      <c r="F33" s="175"/>
      <c r="G33" s="176"/>
      <c r="H33" s="176"/>
    </row>
    <row r="34" spans="1:8" ht="15.75" customHeight="1" x14ac:dyDescent="0.45">
      <c r="A34" s="181" t="s">
        <v>411</v>
      </c>
      <c r="B34" s="182"/>
      <c r="C34" s="182"/>
      <c r="D34" s="182"/>
      <c r="E34" s="182"/>
      <c r="F34" s="182"/>
      <c r="G34" s="182"/>
      <c r="H34" s="182"/>
    </row>
    <row r="35" spans="1:8" ht="15.75" customHeight="1" x14ac:dyDescent="0.45">
      <c r="A35" s="14" t="s">
        <v>195</v>
      </c>
      <c r="B35" s="14" t="s">
        <v>18</v>
      </c>
      <c r="C35" s="177" t="s">
        <v>375</v>
      </c>
      <c r="D35" s="176"/>
      <c r="E35" s="178"/>
      <c r="F35" s="177" t="s">
        <v>205</v>
      </c>
      <c r="G35" s="176"/>
      <c r="H35" s="178"/>
    </row>
    <row r="36" spans="1:8" ht="33.75" customHeight="1" x14ac:dyDescent="0.45">
      <c r="A36" s="19" t="s">
        <v>412</v>
      </c>
      <c r="B36" s="91">
        <v>0.2</v>
      </c>
      <c r="C36" s="180" t="s">
        <v>413</v>
      </c>
      <c r="D36" s="176"/>
      <c r="E36" s="176"/>
      <c r="F36" s="179" t="s">
        <v>414</v>
      </c>
      <c r="G36" s="176"/>
      <c r="H36" s="176"/>
    </row>
    <row r="37" spans="1:8" ht="33.75" customHeight="1" x14ac:dyDescent="0.45">
      <c r="A37" s="15" t="s">
        <v>415</v>
      </c>
      <c r="B37" s="90">
        <v>0.2</v>
      </c>
      <c r="C37" s="179" t="s">
        <v>416</v>
      </c>
      <c r="D37" s="176"/>
      <c r="E37" s="176"/>
      <c r="F37" s="180" t="s">
        <v>417</v>
      </c>
      <c r="G37" s="176"/>
      <c r="H37" s="176"/>
    </row>
    <row r="38" spans="1:8" ht="33.75" customHeight="1" x14ac:dyDescent="0.45">
      <c r="A38" s="19" t="s">
        <v>418</v>
      </c>
      <c r="B38" s="91">
        <v>0.1</v>
      </c>
      <c r="C38" s="180" t="s">
        <v>419</v>
      </c>
      <c r="D38" s="176"/>
      <c r="E38" s="176"/>
      <c r="F38" s="179" t="s">
        <v>420</v>
      </c>
      <c r="G38" s="176"/>
      <c r="H38" s="176"/>
    </row>
    <row r="39" spans="1:8" ht="33.75" customHeight="1" x14ac:dyDescent="0.45">
      <c r="A39" s="15" t="s">
        <v>421</v>
      </c>
      <c r="B39" s="90">
        <v>0.2</v>
      </c>
      <c r="C39" s="179" t="s">
        <v>422</v>
      </c>
      <c r="D39" s="176"/>
      <c r="E39" s="176"/>
      <c r="F39" s="180" t="s">
        <v>423</v>
      </c>
      <c r="G39" s="176"/>
      <c r="H39" s="176"/>
    </row>
    <row r="40" spans="1:8" ht="33.75" customHeight="1" x14ac:dyDescent="0.45">
      <c r="A40" s="19" t="s">
        <v>424</v>
      </c>
      <c r="B40" s="91">
        <v>0.2</v>
      </c>
      <c r="C40" s="180" t="s">
        <v>425</v>
      </c>
      <c r="D40" s="176"/>
      <c r="E40" s="176"/>
      <c r="F40" s="179" t="s">
        <v>426</v>
      </c>
      <c r="G40" s="176"/>
      <c r="H40" s="176"/>
    </row>
    <row r="41" spans="1:8" ht="33.75" customHeight="1" x14ac:dyDescent="0.45">
      <c r="A41" s="15" t="s">
        <v>427</v>
      </c>
      <c r="B41" s="90">
        <v>0.1</v>
      </c>
      <c r="C41" s="201" t="s">
        <v>27</v>
      </c>
      <c r="D41" s="176"/>
      <c r="E41" s="176"/>
      <c r="F41" s="175" t="s">
        <v>428</v>
      </c>
      <c r="G41" s="176"/>
      <c r="H41" s="176"/>
    </row>
    <row r="42" spans="1:8" x14ac:dyDescent="0.45">
      <c r="A42" s="112" t="s">
        <v>429</v>
      </c>
      <c r="B42" s="116">
        <f>SUM(B36:B41)</f>
        <v>0.99999999999999989</v>
      </c>
      <c r="C42" s="130" t="s">
        <v>394</v>
      </c>
    </row>
    <row r="43" spans="1:8" ht="15.75" customHeight="1" x14ac:dyDescent="0.45">
      <c r="A43" s="183" t="s">
        <v>430</v>
      </c>
      <c r="B43" s="184"/>
      <c r="C43" s="184"/>
      <c r="D43" s="184"/>
      <c r="E43" s="184"/>
      <c r="F43" s="184"/>
    </row>
    <row r="44" spans="1:8" ht="15.75" customHeight="1" x14ac:dyDescent="0.45">
      <c r="A44" s="9" t="s">
        <v>204</v>
      </c>
      <c r="B44" s="9" t="s">
        <v>431</v>
      </c>
      <c r="C44" s="9" t="s">
        <v>432</v>
      </c>
      <c r="D44" s="9" t="s">
        <v>433</v>
      </c>
      <c r="E44" s="9" t="s">
        <v>434</v>
      </c>
      <c r="F44" s="9" t="s">
        <v>435</v>
      </c>
    </row>
    <row r="45" spans="1:8" ht="15.75" customHeight="1" x14ac:dyDescent="0.45">
      <c r="A45" s="23" t="s">
        <v>206</v>
      </c>
      <c r="B45" s="23" t="s">
        <v>436</v>
      </c>
      <c r="C45" s="117" t="str">
        <f>"CPI &gt;= "&amp;ROUND(Config!B42, 2)</f>
        <v>CPI &gt;= 1</v>
      </c>
      <c r="D45" s="117" t="str">
        <f>"CPI "&amp;ROUND(Config!B43, 2)&amp;" – "&amp;ROUND(Config!B42-0.01, 2)</f>
        <v>CPI 0,95 – 0,99</v>
      </c>
      <c r="E45" s="117" t="str">
        <f>"CPI "&amp;ROUND(Config!B44, 2)&amp;" – "&amp;ROUND(Config!B43-0.01, 2)</f>
        <v>CPI 0,9 – 0,94</v>
      </c>
      <c r="F45" s="117" t="str">
        <f>"CPI &lt; "&amp;ROUND(Config!B44, 2)</f>
        <v>CPI &lt; 0,9</v>
      </c>
    </row>
    <row r="46" spans="1:8" ht="15.75" customHeight="1" x14ac:dyDescent="0.45">
      <c r="A46" s="24" t="s">
        <v>209</v>
      </c>
      <c r="B46" s="24" t="s">
        <v>437</v>
      </c>
      <c r="C46" s="117" t="str">
        <f>"SPI &gt;= "&amp;ROUND(Config!B45, 2)</f>
        <v>SPI &gt;= 1</v>
      </c>
      <c r="D46" s="117" t="str">
        <f>"SPI "&amp;ROUND(Config!B46, 2)&amp;" – "&amp;ROUND(Config!B45-0.01, 2)</f>
        <v>SPI 0,95 – 0,99</v>
      </c>
      <c r="E46" s="117" t="str">
        <f>"SPI "&amp;ROUND(Config!B47, 2)&amp;" – "&amp;ROUND(Config!B46-0.01, 2)</f>
        <v>SPI 0,9 – 0,94</v>
      </c>
      <c r="F46" s="117" t="str">
        <f>"SPI &lt; "&amp;ROUND(Config!B47, 2)</f>
        <v>SPI &lt; 0,9</v>
      </c>
    </row>
    <row r="47" spans="1:8" ht="15.75" customHeight="1" x14ac:dyDescent="0.45">
      <c r="A47" s="23" t="s">
        <v>438</v>
      </c>
      <c r="B47" s="23" t="s">
        <v>439</v>
      </c>
      <c r="C47" s="117" t="str">
        <f>"SRI &gt;= "&amp;Config!B48&amp;"%"</f>
        <v>SRI &gt;= 90%</v>
      </c>
      <c r="D47" s="117" t="str">
        <f>"SRI "&amp;Config!B49&amp;" – "&amp;(Config!B48-1)&amp;"%"</f>
        <v>SRI 75 – 89%</v>
      </c>
      <c r="E47" s="117" t="str">
        <f>"SRI "&amp;Config!B50&amp;" – "&amp;(Config!B49-1)&amp;"%"</f>
        <v>SRI 65 – 74%</v>
      </c>
      <c r="F47" s="117" t="str">
        <f>"SRI &lt; "&amp;Config!B50&amp;"%"</f>
        <v>SRI &lt; 65%</v>
      </c>
    </row>
    <row r="48" spans="1:8" ht="15.75" customHeight="1" x14ac:dyDescent="0.45">
      <c r="A48" s="24" t="s">
        <v>440</v>
      </c>
      <c r="B48" s="24" t="s">
        <v>441</v>
      </c>
      <c r="C48" s="117" t="str">
        <f>"PEI &gt;= "&amp;Config!B51&amp;"%"</f>
        <v>PEI &gt;= 90%</v>
      </c>
      <c r="D48" s="117" t="str">
        <f>"PEI "&amp;Config!B52&amp;" – "&amp;(Config!B51-1)&amp;"%"</f>
        <v>PEI 80 – 89%</v>
      </c>
      <c r="E48" s="117" t="str">
        <f>"PEI "&amp;Config!B53&amp;" – "&amp;(Config!B52-1)&amp;"%"</f>
        <v>PEI 70 – 79%</v>
      </c>
      <c r="F48" s="117" t="str">
        <f>"PEI &lt; "&amp;Config!B53&amp;"%"</f>
        <v>PEI &lt; 70%</v>
      </c>
    </row>
    <row r="49" spans="1:6" ht="15.75" customHeight="1" x14ac:dyDescent="0.45">
      <c r="A49" s="23" t="s">
        <v>442</v>
      </c>
      <c r="B49" s="23" t="s">
        <v>443</v>
      </c>
      <c r="C49" s="117" t="str">
        <f>"CRI &gt;= "&amp;Config!B54&amp;"%"</f>
        <v>CRI &gt;= 80%</v>
      </c>
      <c r="D49" s="117" t="str">
        <f>"CRI "&amp;Config!B55&amp;" – "&amp;(Config!B54-1)&amp;"%"</f>
        <v>CRI 60 – 79%</v>
      </c>
      <c r="E49" s="117" t="str">
        <f>"CRI "&amp;Config!B56&amp;" – "&amp;(Config!B55-1)&amp;"%"</f>
        <v>CRI 50 – 59%</v>
      </c>
      <c r="F49" s="117" t="str">
        <f>"CRI &lt; "&amp;Config!B56&amp;"%"</f>
        <v>CRI &lt; 50%</v>
      </c>
    </row>
    <row r="50" spans="1:6" ht="15.75" customHeight="1" x14ac:dyDescent="0.45">
      <c r="A50" s="24" t="s">
        <v>444</v>
      </c>
      <c r="B50" s="24" t="s">
        <v>445</v>
      </c>
      <c r="C50" s="117" t="str">
        <f>"PHS "&amp;Config!B57&amp;" – 100%"</f>
        <v>PHS 90 – 100%</v>
      </c>
      <c r="D50" s="117" t="str">
        <f>"PHS "&amp;Config!B58&amp;" – "&amp;(Config!B57-1)&amp;"%"</f>
        <v>PHS 80 – 89%</v>
      </c>
      <c r="E50" s="117" t="str">
        <f>"PHS "&amp;Config!B59&amp;" – "&amp;(Config!B58-1)&amp;"%"</f>
        <v>PHS 70 – 79%</v>
      </c>
      <c r="F50" s="117" t="str">
        <f>"PHS &lt; "&amp;Config!B59&amp;"%"</f>
        <v>PHS &lt; 70%</v>
      </c>
    </row>
    <row r="52" spans="1:6" ht="15.75" customHeight="1" x14ac:dyDescent="0.45">
      <c r="A52" s="185" t="s">
        <v>446</v>
      </c>
      <c r="B52" s="176"/>
      <c r="C52" s="176"/>
      <c r="D52" s="176"/>
      <c r="E52" s="178"/>
    </row>
    <row r="53" spans="1:6" ht="21.75" customHeight="1" x14ac:dyDescent="0.45">
      <c r="A53" s="191" t="s">
        <v>447</v>
      </c>
      <c r="B53" s="147"/>
      <c r="C53" s="147"/>
      <c r="D53" s="147"/>
      <c r="E53" s="147"/>
    </row>
    <row r="54" spans="1:6" ht="15.75" customHeight="1" x14ac:dyDescent="0.45">
      <c r="A54" s="9" t="s">
        <v>297</v>
      </c>
      <c r="B54" s="9" t="s">
        <v>68</v>
      </c>
      <c r="C54" s="190" t="s">
        <v>448</v>
      </c>
      <c r="D54" s="176"/>
      <c r="E54" s="178"/>
    </row>
    <row r="55" spans="1:6" ht="25.5" customHeight="1" x14ac:dyDescent="0.45">
      <c r="A55" s="25">
        <v>1</v>
      </c>
      <c r="B55" s="122" t="str">
        <f>Config!B72</f>
        <v>Sangat Jarang Terjadi</v>
      </c>
      <c r="C55" s="192" t="str">
        <f>"Kemungkinan terjadi "&amp;Config!C72&amp;"; "&amp;Config!D72</f>
        <v>Kemungkinan terjadi &lt; 10%; Hampir tidak pernah terjadi selama siklus proyek</v>
      </c>
      <c r="D55" s="176"/>
      <c r="E55" s="176"/>
    </row>
    <row r="56" spans="1:6" ht="25.5" customHeight="1" x14ac:dyDescent="0.45">
      <c r="A56" s="26">
        <v>2</v>
      </c>
      <c r="B56" s="122" t="str">
        <f>Config!B73</f>
        <v>Jarang Terjadi</v>
      </c>
      <c r="C56" s="192" t="str">
        <f>"Kemungkinan terjadi "&amp;Config!C73&amp;"; "&amp;Config!D73</f>
        <v>Kemungkinan terjadi 10 – 30%; Pernah terjadi, namun jarang</v>
      </c>
      <c r="D56" s="176"/>
      <c r="E56" s="176"/>
    </row>
    <row r="57" spans="1:6" ht="25.5" customHeight="1" x14ac:dyDescent="0.45">
      <c r="A57" s="27">
        <v>3</v>
      </c>
      <c r="B57" s="122" t="str">
        <f>Config!B74</f>
        <v>Bisa Terjadi</v>
      </c>
      <c r="C57" s="192" t="str">
        <f>"Kemungkinan terjadi "&amp;Config!C74&amp;"; "&amp;Config!D74</f>
        <v>Kemungkinan terjadi 30 – 50%; Pernah terjadi beberapa kali</v>
      </c>
      <c r="D57" s="176"/>
      <c r="E57" s="176"/>
    </row>
    <row r="58" spans="1:6" ht="25.5" customHeight="1" x14ac:dyDescent="0.45">
      <c r="A58" s="28">
        <v>4</v>
      </c>
      <c r="B58" s="122" t="str">
        <f>Config!B75</f>
        <v>Sangat Mungkin Terjadi</v>
      </c>
      <c r="C58" s="192" t="str">
        <f>"Kemungkinan terjadi "&amp;Config!C75&amp;"; "&amp;Config!D75</f>
        <v>Kemungkinan terjadi 50 – 70%; Kondisi &amp; indikasi sudah muncul</v>
      </c>
      <c r="D58" s="176"/>
      <c r="E58" s="176"/>
    </row>
    <row r="59" spans="1:6" ht="25.5" customHeight="1" x14ac:dyDescent="0.45">
      <c r="A59" s="29">
        <v>5</v>
      </c>
      <c r="B59" s="122" t="str">
        <f>Config!B76</f>
        <v>Hampir Pasti Terjadi</v>
      </c>
      <c r="C59" s="192" t="str">
        <f>"Kemungkinan terjadi "&amp;Config!C76&amp;"; "&amp;Config!D76</f>
        <v>Kemungkinan terjadi &gt; 70%; Sudah terdapat indikasi kuat akan terjadi</v>
      </c>
      <c r="D59" s="176"/>
      <c r="E59" s="176"/>
    </row>
    <row r="61" spans="1:6" ht="15.75" customHeight="1" x14ac:dyDescent="0.45">
      <c r="A61" s="185" t="s">
        <v>449</v>
      </c>
      <c r="B61" s="176"/>
      <c r="C61" s="176"/>
      <c r="D61" s="176"/>
      <c r="E61" s="178"/>
    </row>
    <row r="62" spans="1:6" ht="15.75" customHeight="1" x14ac:dyDescent="0.45">
      <c r="A62" s="9" t="s">
        <v>318</v>
      </c>
      <c r="B62" s="9" t="s">
        <v>68</v>
      </c>
      <c r="C62" s="190" t="s">
        <v>450</v>
      </c>
      <c r="D62" s="176"/>
      <c r="E62" s="178"/>
    </row>
    <row r="63" spans="1:6" ht="30" customHeight="1" x14ac:dyDescent="0.45">
      <c r="A63" s="25">
        <v>1</v>
      </c>
      <c r="B63" s="122" t="str">
        <f>Config!B82</f>
        <v>Sangat Rendah</v>
      </c>
      <c r="C63" s="192" t="str">
        <f>Config!C82 &amp; " ; " &amp; Config!D82</f>
        <v>Dampak biaya dapat diabaikan (&lt; USD 0.5 Jt) ; Tidak ada keterlambatan signifikan (maks 1 bln)</v>
      </c>
      <c r="D63" s="176"/>
      <c r="E63" s="176"/>
    </row>
    <row r="64" spans="1:6" ht="30" customHeight="1" x14ac:dyDescent="0.45">
      <c r="A64" s="26">
        <v>2</v>
      </c>
      <c r="B64" s="122" t="str">
        <f>Config!B83</f>
        <v>Rendah</v>
      </c>
      <c r="C64" s="192" t="str">
        <f>Config!C83 &amp; " ; " &amp; Config!D83</f>
        <v>Dampak biaya minor (USD 0.5 - 2 Jt) ; Keterlambatan minor (hingga 3 bln)</v>
      </c>
      <c r="D64" s="176"/>
      <c r="E64" s="176"/>
    </row>
    <row r="65" spans="1:5" ht="30" customHeight="1" x14ac:dyDescent="0.45">
      <c r="A65" s="27">
        <v>3</v>
      </c>
      <c r="B65" s="122" t="str">
        <f>Config!B84</f>
        <v>Moderat</v>
      </c>
      <c r="C65" s="192" t="str">
        <f>Config!C84 &amp; " ; " &amp; Config!D84</f>
        <v>Dampak biaya moderat (USD 2 - 10 Jt) ; Keterlambatan berdampak pada jadwal utama (hingga 6 bln)</v>
      </c>
      <c r="D65" s="176"/>
      <c r="E65" s="176"/>
    </row>
    <row r="66" spans="1:5" ht="30" customHeight="1" x14ac:dyDescent="0.45">
      <c r="A66" s="28">
        <v>4</v>
      </c>
      <c r="B66" s="122" t="str">
        <f>Config!B85</f>
        <v>Tinggi</v>
      </c>
      <c r="C66" s="192" t="str">
        <f>Config!C85 &amp; " ; " &amp; Config!D85</f>
        <v>Dampak biaya signifikan (USD 10 - 30 Jt) ; Keterlambatan penyelesaian proyek (hingga 12 bln)</v>
      </c>
      <c r="D66" s="176"/>
      <c r="E66" s="176"/>
    </row>
    <row r="67" spans="1:5" ht="30" customHeight="1" x14ac:dyDescent="0.45">
      <c r="A67" s="29">
        <v>5</v>
      </c>
      <c r="B67" s="122" t="str">
        <f>Config!B86</f>
        <v>Sangat Tinggi</v>
      </c>
      <c r="C67" s="192" t="str">
        <f>Config!C86 &amp; " ; " &amp; Config!D86</f>
        <v>Dampak biaya krisis (&gt; USD 30 Jt) ; Proyek terancam batal / sangat terlambat (&gt; 24 bln)</v>
      </c>
      <c r="D67" s="176"/>
      <c r="E67" s="176"/>
    </row>
    <row r="69" spans="1:5" ht="15.75" customHeight="1" x14ac:dyDescent="0.45">
      <c r="A69" s="185" t="s">
        <v>451</v>
      </c>
      <c r="B69" s="176"/>
      <c r="C69" s="176"/>
      <c r="D69" s="176"/>
      <c r="E69" s="178"/>
    </row>
    <row r="70" spans="1:5" ht="19.5" customHeight="1" x14ac:dyDescent="0.45">
      <c r="A70" s="202" t="s">
        <v>452</v>
      </c>
      <c r="B70" s="147"/>
      <c r="C70" s="147"/>
      <c r="D70" s="147"/>
      <c r="E70" s="147"/>
    </row>
    <row r="71" spans="1:5" ht="15.75" customHeight="1" x14ac:dyDescent="0.45">
      <c r="A71" s="9" t="s">
        <v>338</v>
      </c>
      <c r="B71" s="9" t="s">
        <v>453</v>
      </c>
      <c r="C71" s="190" t="s">
        <v>454</v>
      </c>
      <c r="D71" s="176"/>
      <c r="E71" s="178"/>
    </row>
    <row r="72" spans="1:5" ht="15.75" customHeight="1" x14ac:dyDescent="0.45">
      <c r="A72" s="123" t="str">
        <f>Config!A92</f>
        <v>Low</v>
      </c>
      <c r="B72" s="124" t="str">
        <f>Config!B92&amp;" - "&amp;Config!C92</f>
        <v>1 - 5</v>
      </c>
      <c r="C72" s="194" t="str">
        <f>Config!D92</f>
        <v>0 – 20</v>
      </c>
      <c r="D72" s="176"/>
      <c r="E72" s="176"/>
    </row>
    <row r="73" spans="1:5" ht="15.75" customHeight="1" x14ac:dyDescent="0.45">
      <c r="A73" s="123" t="str">
        <f>Config!A93</f>
        <v>Low to Moderate</v>
      </c>
      <c r="B73" s="124" t="str">
        <f>Config!B93&amp;" - "&amp;Config!C93</f>
        <v>6 - 11</v>
      </c>
      <c r="C73" s="194" t="str">
        <f>Config!D93</f>
        <v>21 – 40</v>
      </c>
      <c r="D73" s="176"/>
      <c r="E73" s="176"/>
    </row>
    <row r="74" spans="1:5" ht="15.75" customHeight="1" x14ac:dyDescent="0.45">
      <c r="A74" s="123" t="str">
        <f>Config!A94</f>
        <v>Moderate</v>
      </c>
      <c r="B74" s="124" t="str">
        <f>Config!B94&amp;" - "&amp;Config!C94</f>
        <v>12 - 15</v>
      </c>
      <c r="C74" s="194" t="str">
        <f>Config!D94</f>
        <v>41 – 60</v>
      </c>
      <c r="D74" s="176"/>
      <c r="E74" s="176"/>
    </row>
    <row r="75" spans="1:5" ht="15.75" customHeight="1" x14ac:dyDescent="0.45">
      <c r="A75" s="123" t="str">
        <f>Config!A95</f>
        <v>Moderate to High</v>
      </c>
      <c r="B75" s="124" t="str">
        <f>Config!B95&amp;" - "&amp;Config!C95</f>
        <v>16 - 19</v>
      </c>
      <c r="C75" s="194" t="str">
        <f>Config!D95</f>
        <v>61 – 80</v>
      </c>
      <c r="D75" s="176"/>
      <c r="E75" s="176"/>
    </row>
    <row r="76" spans="1:5" ht="15.75" customHeight="1" x14ac:dyDescent="0.45">
      <c r="A76" s="123" t="str">
        <f>Config!A96</f>
        <v>High</v>
      </c>
      <c r="B76" s="124" t="str">
        <f>Config!B96&amp;" - "&amp;Config!C96</f>
        <v>20 - 25</v>
      </c>
      <c r="C76" s="194" t="str">
        <f>Config!D96</f>
        <v>81 – 100</v>
      </c>
      <c r="D76" s="176"/>
      <c r="E76" s="176"/>
    </row>
    <row r="78" spans="1:5" ht="15.75" customHeight="1" x14ac:dyDescent="0.45">
      <c r="A78" s="185" t="s">
        <v>455</v>
      </c>
      <c r="B78" s="176"/>
      <c r="C78" s="176"/>
      <c r="D78" s="176"/>
      <c r="E78" s="178"/>
    </row>
    <row r="79" spans="1:5" ht="30" customHeight="1" x14ac:dyDescent="0.45">
      <c r="A79" s="19" t="s">
        <v>225</v>
      </c>
      <c r="B79" s="91">
        <f>Config!B21</f>
        <v>0.4</v>
      </c>
      <c r="C79" s="195" t="s">
        <v>456</v>
      </c>
      <c r="D79" s="176"/>
      <c r="E79" s="176"/>
    </row>
    <row r="80" spans="1:5" ht="30" customHeight="1" x14ac:dyDescent="0.45">
      <c r="A80" s="15" t="s">
        <v>228</v>
      </c>
      <c r="B80" s="90">
        <f>Config!B22</f>
        <v>0.4</v>
      </c>
      <c r="C80" s="205" t="s">
        <v>457</v>
      </c>
      <c r="D80" s="176"/>
      <c r="E80" s="176"/>
    </row>
    <row r="81" spans="1:6" ht="30" customHeight="1" x14ac:dyDescent="0.45">
      <c r="A81" s="19" t="s">
        <v>231</v>
      </c>
      <c r="B81" s="91">
        <f>Config!B23</f>
        <v>0.2</v>
      </c>
      <c r="C81" s="195" t="s">
        <v>458</v>
      </c>
      <c r="D81" s="176"/>
      <c r="E81" s="176"/>
    </row>
    <row r="82" spans="1:6" ht="15.75" customHeight="1" x14ac:dyDescent="0.45">
      <c r="A82" s="204" t="s">
        <v>459</v>
      </c>
      <c r="B82" s="147"/>
      <c r="C82" s="147"/>
      <c r="D82" s="147"/>
      <c r="E82" s="147"/>
    </row>
    <row r="84" spans="1:6" ht="15" customHeight="1" x14ac:dyDescent="0.45">
      <c r="A84" s="31" t="s">
        <v>460</v>
      </c>
    </row>
    <row r="85" spans="1:6" ht="15" customHeight="1" x14ac:dyDescent="0.45"/>
    <row r="86" spans="1:6" ht="15" customHeight="1" x14ac:dyDescent="0.45"/>
    <row r="87" spans="1:6" ht="15" customHeight="1" x14ac:dyDescent="0.45"/>
    <row r="89" spans="1:6" ht="14.25" customHeight="1" x14ac:dyDescent="0.45">
      <c r="A89" s="32" t="s">
        <v>461</v>
      </c>
      <c r="B89" s="33"/>
      <c r="C89" s="33"/>
      <c r="D89" s="33"/>
      <c r="E89" s="33"/>
      <c r="F89" s="33"/>
    </row>
    <row r="90" spans="1:6" ht="43.5" customHeight="1" x14ac:dyDescent="0.45">
      <c r="A90" s="197" t="s">
        <v>462</v>
      </c>
      <c r="B90" s="147"/>
      <c r="C90" s="147"/>
      <c r="D90" s="147"/>
      <c r="E90" s="147"/>
      <c r="F90" s="147"/>
    </row>
    <row r="92" spans="1:6" ht="14.25" customHeight="1" x14ac:dyDescent="0.45">
      <c r="A92" s="12" t="s">
        <v>463</v>
      </c>
      <c r="B92" s="12" t="s">
        <v>69</v>
      </c>
      <c r="C92" s="12" t="s">
        <v>70</v>
      </c>
      <c r="D92" s="12" t="s">
        <v>464</v>
      </c>
      <c r="E92" s="12" t="s">
        <v>338</v>
      </c>
      <c r="F92" s="12" t="s">
        <v>465</v>
      </c>
    </row>
    <row r="93" spans="1:6" ht="14.25" customHeight="1" x14ac:dyDescent="0.45">
      <c r="A93" s="34">
        <v>11</v>
      </c>
      <c r="B93" s="34">
        <v>1</v>
      </c>
      <c r="C93" s="34">
        <v>1</v>
      </c>
      <c r="D93" s="34">
        <v>1</v>
      </c>
      <c r="E93" s="35" t="s">
        <v>40</v>
      </c>
      <c r="F93" s="34" t="s">
        <v>466</v>
      </c>
    </row>
    <row r="94" spans="1:6" ht="14.25" customHeight="1" x14ac:dyDescent="0.45">
      <c r="A94" s="34">
        <v>21</v>
      </c>
      <c r="B94" s="34">
        <v>2</v>
      </c>
      <c r="C94" s="34">
        <v>1</v>
      </c>
      <c r="D94" s="34">
        <v>2</v>
      </c>
      <c r="E94" s="35" t="s">
        <v>40</v>
      </c>
      <c r="F94" s="34" t="s">
        <v>466</v>
      </c>
    </row>
    <row r="95" spans="1:6" ht="14.25" customHeight="1" x14ac:dyDescent="0.45">
      <c r="A95" s="34">
        <v>31</v>
      </c>
      <c r="B95" s="34">
        <v>3</v>
      </c>
      <c r="C95" s="34">
        <v>1</v>
      </c>
      <c r="D95" s="34">
        <v>3</v>
      </c>
      <c r="E95" s="35" t="s">
        <v>40</v>
      </c>
      <c r="F95" s="34" t="s">
        <v>466</v>
      </c>
    </row>
    <row r="96" spans="1:6" ht="14.25" customHeight="1" x14ac:dyDescent="0.45">
      <c r="A96" s="34">
        <v>41</v>
      </c>
      <c r="B96" s="34">
        <v>4</v>
      </c>
      <c r="C96" s="34">
        <v>1</v>
      </c>
      <c r="D96" s="34">
        <v>4</v>
      </c>
      <c r="E96" s="35" t="s">
        <v>40</v>
      </c>
      <c r="F96" s="34" t="s">
        <v>466</v>
      </c>
    </row>
    <row r="97" spans="1:6" ht="14.25" customHeight="1" x14ac:dyDescent="0.45">
      <c r="A97" s="34">
        <v>12</v>
      </c>
      <c r="B97" s="34">
        <v>1</v>
      </c>
      <c r="C97" s="34">
        <v>2</v>
      </c>
      <c r="D97" s="34">
        <v>5</v>
      </c>
      <c r="E97" s="35" t="s">
        <v>40</v>
      </c>
      <c r="F97" s="34" t="s">
        <v>466</v>
      </c>
    </row>
    <row r="98" spans="1:6" ht="14.25" customHeight="1" x14ac:dyDescent="0.45">
      <c r="A98" s="34">
        <v>22</v>
      </c>
      <c r="B98" s="34">
        <v>2</v>
      </c>
      <c r="C98" s="34">
        <v>2</v>
      </c>
      <c r="D98" s="34">
        <v>6</v>
      </c>
      <c r="E98" s="36" t="s">
        <v>39</v>
      </c>
      <c r="F98" s="34" t="s">
        <v>467</v>
      </c>
    </row>
    <row r="99" spans="1:6" ht="14.25" customHeight="1" x14ac:dyDescent="0.45">
      <c r="A99" s="34">
        <v>51</v>
      </c>
      <c r="B99" s="34">
        <v>5</v>
      </c>
      <c r="C99" s="34">
        <v>1</v>
      </c>
      <c r="D99" s="34">
        <v>7</v>
      </c>
      <c r="E99" s="36" t="s">
        <v>39</v>
      </c>
      <c r="F99" s="34" t="s">
        <v>467</v>
      </c>
    </row>
    <row r="100" spans="1:6" ht="14.25" customHeight="1" x14ac:dyDescent="0.45">
      <c r="A100" s="34">
        <v>32</v>
      </c>
      <c r="B100" s="34">
        <v>3</v>
      </c>
      <c r="C100" s="34">
        <v>2</v>
      </c>
      <c r="D100" s="34">
        <v>8</v>
      </c>
      <c r="E100" s="36" t="s">
        <v>39</v>
      </c>
      <c r="F100" s="34" t="s">
        <v>467</v>
      </c>
    </row>
    <row r="101" spans="1:6" ht="14.25" customHeight="1" x14ac:dyDescent="0.45">
      <c r="A101" s="34">
        <v>42</v>
      </c>
      <c r="B101" s="34">
        <v>4</v>
      </c>
      <c r="C101" s="34">
        <v>2</v>
      </c>
      <c r="D101" s="34">
        <v>9</v>
      </c>
      <c r="E101" s="36" t="s">
        <v>39</v>
      </c>
      <c r="F101" s="34" t="s">
        <v>467</v>
      </c>
    </row>
    <row r="102" spans="1:6" ht="14.25" customHeight="1" x14ac:dyDescent="0.45">
      <c r="A102" s="34">
        <v>13</v>
      </c>
      <c r="B102" s="34">
        <v>1</v>
      </c>
      <c r="C102" s="34">
        <v>3</v>
      </c>
      <c r="D102" s="34">
        <v>10</v>
      </c>
      <c r="E102" s="36" t="s">
        <v>39</v>
      </c>
      <c r="F102" s="34" t="s">
        <v>467</v>
      </c>
    </row>
    <row r="103" spans="1:6" ht="14.25" customHeight="1" x14ac:dyDescent="0.45">
      <c r="A103" s="34">
        <v>23</v>
      </c>
      <c r="B103" s="34">
        <v>2</v>
      </c>
      <c r="C103" s="34">
        <v>3</v>
      </c>
      <c r="D103" s="34">
        <v>11</v>
      </c>
      <c r="E103" s="36" t="s">
        <v>39</v>
      </c>
      <c r="F103" s="34" t="s">
        <v>467</v>
      </c>
    </row>
    <row r="104" spans="1:6" ht="14.25" customHeight="1" x14ac:dyDescent="0.45">
      <c r="A104" s="34">
        <v>52</v>
      </c>
      <c r="B104" s="34">
        <v>5</v>
      </c>
      <c r="C104" s="34">
        <v>2</v>
      </c>
      <c r="D104" s="34">
        <v>12</v>
      </c>
      <c r="E104" s="37" t="s">
        <v>38</v>
      </c>
      <c r="F104" s="34" t="s">
        <v>468</v>
      </c>
    </row>
    <row r="105" spans="1:6" ht="14.25" customHeight="1" x14ac:dyDescent="0.45">
      <c r="A105" s="34">
        <v>33</v>
      </c>
      <c r="B105" s="34">
        <v>3</v>
      </c>
      <c r="C105" s="34">
        <v>3</v>
      </c>
      <c r="D105" s="34">
        <v>13</v>
      </c>
      <c r="E105" s="37" t="s">
        <v>38</v>
      </c>
      <c r="F105" s="34" t="s">
        <v>468</v>
      </c>
    </row>
    <row r="106" spans="1:6" ht="14.25" customHeight="1" x14ac:dyDescent="0.45">
      <c r="A106" s="34">
        <v>43</v>
      </c>
      <c r="B106" s="34">
        <v>4</v>
      </c>
      <c r="C106" s="34">
        <v>3</v>
      </c>
      <c r="D106" s="34">
        <v>14</v>
      </c>
      <c r="E106" s="37" t="s">
        <v>38</v>
      </c>
      <c r="F106" s="34" t="s">
        <v>468</v>
      </c>
    </row>
    <row r="107" spans="1:6" ht="14.25" customHeight="1" x14ac:dyDescent="0.45">
      <c r="A107" s="34">
        <v>14</v>
      </c>
      <c r="B107" s="34">
        <v>1</v>
      </c>
      <c r="C107" s="34">
        <v>4</v>
      </c>
      <c r="D107" s="34">
        <v>15</v>
      </c>
      <c r="E107" s="37" t="s">
        <v>38</v>
      </c>
      <c r="F107" s="34" t="s">
        <v>468</v>
      </c>
    </row>
    <row r="108" spans="1:6" ht="14.25" customHeight="1" x14ac:dyDescent="0.45">
      <c r="A108" s="34">
        <v>24</v>
      </c>
      <c r="B108" s="34">
        <v>2</v>
      </c>
      <c r="C108" s="34">
        <v>4</v>
      </c>
      <c r="D108" s="34">
        <v>16</v>
      </c>
      <c r="E108" s="38" t="s">
        <v>37</v>
      </c>
      <c r="F108" s="34" t="s">
        <v>469</v>
      </c>
    </row>
    <row r="109" spans="1:6" ht="14.25" customHeight="1" x14ac:dyDescent="0.45">
      <c r="A109" s="34">
        <v>53</v>
      </c>
      <c r="B109" s="34">
        <v>5</v>
      </c>
      <c r="C109" s="34">
        <v>3</v>
      </c>
      <c r="D109" s="34">
        <v>17</v>
      </c>
      <c r="E109" s="38" t="s">
        <v>37</v>
      </c>
      <c r="F109" s="34" t="s">
        <v>469</v>
      </c>
    </row>
    <row r="110" spans="1:6" ht="14.25" customHeight="1" x14ac:dyDescent="0.45">
      <c r="A110" s="34">
        <v>34</v>
      </c>
      <c r="B110" s="34">
        <v>3</v>
      </c>
      <c r="C110" s="34">
        <v>4</v>
      </c>
      <c r="D110" s="34">
        <v>18</v>
      </c>
      <c r="E110" s="38" t="s">
        <v>37</v>
      </c>
      <c r="F110" s="34" t="s">
        <v>469</v>
      </c>
    </row>
    <row r="111" spans="1:6" ht="14.25" customHeight="1" x14ac:dyDescent="0.45">
      <c r="A111" s="34">
        <v>44</v>
      </c>
      <c r="B111" s="34">
        <v>4</v>
      </c>
      <c r="C111" s="34">
        <v>4</v>
      </c>
      <c r="D111" s="34">
        <v>19</v>
      </c>
      <c r="E111" s="38" t="s">
        <v>37</v>
      </c>
      <c r="F111" s="34" t="s">
        <v>469</v>
      </c>
    </row>
    <row r="112" spans="1:6" ht="14.25" customHeight="1" x14ac:dyDescent="0.45">
      <c r="A112" s="34">
        <v>15</v>
      </c>
      <c r="B112" s="34">
        <v>1</v>
      </c>
      <c r="C112" s="34">
        <v>5</v>
      </c>
      <c r="D112" s="34">
        <v>20</v>
      </c>
      <c r="E112" s="39" t="s">
        <v>36</v>
      </c>
      <c r="F112" s="34" t="s">
        <v>470</v>
      </c>
    </row>
    <row r="113" spans="1:6" ht="14.25" customHeight="1" x14ac:dyDescent="0.45">
      <c r="A113" s="34">
        <v>25</v>
      </c>
      <c r="B113" s="34">
        <v>2</v>
      </c>
      <c r="C113" s="34">
        <v>5</v>
      </c>
      <c r="D113" s="34">
        <v>21</v>
      </c>
      <c r="E113" s="39" t="s">
        <v>36</v>
      </c>
      <c r="F113" s="34" t="s">
        <v>470</v>
      </c>
    </row>
    <row r="114" spans="1:6" ht="14.25" customHeight="1" x14ac:dyDescent="0.45">
      <c r="A114" s="34">
        <v>54</v>
      </c>
      <c r="B114" s="34">
        <v>5</v>
      </c>
      <c r="C114" s="34">
        <v>4</v>
      </c>
      <c r="D114" s="34">
        <v>22</v>
      </c>
      <c r="E114" s="39" t="s">
        <v>36</v>
      </c>
      <c r="F114" s="34" t="s">
        <v>470</v>
      </c>
    </row>
    <row r="115" spans="1:6" ht="14.25" customHeight="1" x14ac:dyDescent="0.45">
      <c r="A115" s="34">
        <v>35</v>
      </c>
      <c r="B115" s="34">
        <v>3</v>
      </c>
      <c r="C115" s="34">
        <v>5</v>
      </c>
      <c r="D115" s="34">
        <v>23</v>
      </c>
      <c r="E115" s="39" t="s">
        <v>36</v>
      </c>
      <c r="F115" s="34" t="s">
        <v>470</v>
      </c>
    </row>
    <row r="116" spans="1:6" ht="14.25" customHeight="1" x14ac:dyDescent="0.45">
      <c r="A116" s="34">
        <v>45</v>
      </c>
      <c r="B116" s="34">
        <v>4</v>
      </c>
      <c r="C116" s="34">
        <v>5</v>
      </c>
      <c r="D116" s="34">
        <v>24</v>
      </c>
      <c r="E116" s="39" t="s">
        <v>36</v>
      </c>
      <c r="F116" s="34" t="s">
        <v>470</v>
      </c>
    </row>
    <row r="117" spans="1:6" ht="14.25" customHeight="1" x14ac:dyDescent="0.45">
      <c r="A117" s="34">
        <v>55</v>
      </c>
      <c r="B117" s="34">
        <v>5</v>
      </c>
      <c r="C117" s="34">
        <v>5</v>
      </c>
      <c r="D117" s="34">
        <v>25</v>
      </c>
      <c r="E117" s="39" t="s">
        <v>36</v>
      </c>
      <c r="F117" s="34" t="s">
        <v>470</v>
      </c>
    </row>
    <row r="119" spans="1:6" ht="31.5" customHeight="1" x14ac:dyDescent="0.45">
      <c r="A119" s="197" t="s">
        <v>471</v>
      </c>
      <c r="B119" s="147"/>
      <c r="C119" s="147"/>
      <c r="D119" s="147"/>
      <c r="E119" s="147"/>
      <c r="F119" s="147"/>
    </row>
    <row r="121" spans="1:6" ht="14.25" customHeight="1" x14ac:dyDescent="0.45">
      <c r="A121" s="32" t="s">
        <v>472</v>
      </c>
      <c r="B121" s="33"/>
      <c r="C121" s="33"/>
      <c r="D121" s="33"/>
      <c r="E121" s="33"/>
      <c r="F121" s="33"/>
    </row>
    <row r="122" spans="1:6" ht="33.75" customHeight="1" x14ac:dyDescent="0.45">
      <c r="A122" s="197" t="s">
        <v>473</v>
      </c>
      <c r="B122" s="147"/>
      <c r="C122" s="147"/>
      <c r="D122" s="147"/>
      <c r="E122" s="147"/>
      <c r="F122" s="147"/>
    </row>
    <row r="124" spans="1:6" ht="14.25" customHeight="1" x14ac:dyDescent="0.45">
      <c r="A124" s="40" t="s">
        <v>474</v>
      </c>
      <c r="B124" s="200" t="s">
        <v>475</v>
      </c>
      <c r="C124" s="147"/>
      <c r="D124" s="147"/>
      <c r="E124" s="40" t="s">
        <v>476</v>
      </c>
    </row>
    <row r="125" spans="1:6" ht="14.25" customHeight="1" x14ac:dyDescent="0.45">
      <c r="A125" s="41" t="s">
        <v>477</v>
      </c>
      <c r="B125" s="193" t="s">
        <v>478</v>
      </c>
      <c r="C125" s="187"/>
      <c r="D125" s="188"/>
      <c r="E125" s="42"/>
    </row>
    <row r="126" spans="1:6" ht="14.25" customHeight="1" x14ac:dyDescent="0.45">
      <c r="A126" s="43" t="s">
        <v>479</v>
      </c>
      <c r="B126" s="186" t="e">
        <f>"Threshold × (1 - "&amp;TEXT(Config!B29/100,"0%")&amp;") &lt;= Nilai Aktual &lt; Threshold"</f>
        <v>#VALUE!</v>
      </c>
      <c r="C126" s="187"/>
      <c r="D126" s="188"/>
      <c r="E126" s="42"/>
    </row>
    <row r="127" spans="1:6" ht="14.25" customHeight="1" x14ac:dyDescent="0.45">
      <c r="A127" s="44" t="s">
        <v>480</v>
      </c>
      <c r="B127" s="186" t="e">
        <f>"Nilai Aktual &lt; Threshold × (1 - "&amp;TEXT(Config!B29/100,"0%")&amp;")"</f>
        <v>#VALUE!</v>
      </c>
      <c r="C127" s="187"/>
      <c r="D127" s="188"/>
      <c r="E127" s="42"/>
    </row>
    <row r="130" spans="1:6" ht="15.75" customHeight="1" x14ac:dyDescent="0.45">
      <c r="A130" s="78" t="s">
        <v>481</v>
      </c>
      <c r="B130" s="79"/>
      <c r="C130" s="79"/>
      <c r="D130" s="79"/>
      <c r="E130" s="79"/>
      <c r="F130" s="79"/>
    </row>
    <row r="132" spans="1:6" x14ac:dyDescent="0.45">
      <c r="A132" s="199" t="s">
        <v>482</v>
      </c>
      <c r="B132" s="147"/>
      <c r="C132" s="147"/>
      <c r="D132" s="147"/>
      <c r="E132" s="147"/>
      <c r="F132" s="147"/>
    </row>
    <row r="133" spans="1:6" x14ac:dyDescent="0.45">
      <c r="A133" s="80" t="s">
        <v>483</v>
      </c>
      <c r="B133" s="80" t="s">
        <v>484</v>
      </c>
      <c r="C133" s="80" t="s">
        <v>485</v>
      </c>
      <c r="D133" s="80" t="s">
        <v>486</v>
      </c>
      <c r="E133" s="80" t="s">
        <v>487</v>
      </c>
      <c r="F133" s="80" t="s">
        <v>488</v>
      </c>
    </row>
    <row r="134" spans="1:6" ht="57" customHeight="1" x14ac:dyDescent="0.45">
      <c r="A134" s="81" t="s">
        <v>225</v>
      </c>
      <c r="B134" s="81" t="s">
        <v>489</v>
      </c>
      <c r="C134" s="81" t="s">
        <v>490</v>
      </c>
      <c r="D134" s="81" t="s">
        <v>491</v>
      </c>
      <c r="E134" s="81" t="s">
        <v>492</v>
      </c>
      <c r="F134" s="81" t="s">
        <v>493</v>
      </c>
    </row>
    <row r="135" spans="1:6" ht="57" customHeight="1" x14ac:dyDescent="0.45">
      <c r="A135" s="81" t="s">
        <v>228</v>
      </c>
      <c r="B135" s="81" t="s">
        <v>494</v>
      </c>
      <c r="C135" s="81" t="s">
        <v>495</v>
      </c>
      <c r="D135" s="81" t="s">
        <v>491</v>
      </c>
      <c r="E135" s="81" t="s">
        <v>496</v>
      </c>
      <c r="F135" s="81" t="s">
        <v>497</v>
      </c>
    </row>
    <row r="136" spans="1:6" ht="28.5" customHeight="1" x14ac:dyDescent="0.45">
      <c r="A136" s="81" t="s">
        <v>231</v>
      </c>
      <c r="B136" s="81" t="s">
        <v>498</v>
      </c>
      <c r="C136" s="81" t="s">
        <v>499</v>
      </c>
      <c r="D136" s="81" t="s">
        <v>491</v>
      </c>
      <c r="E136" s="81" t="s">
        <v>500</v>
      </c>
      <c r="F136" s="81" t="s">
        <v>501</v>
      </c>
    </row>
    <row r="139" spans="1:6" x14ac:dyDescent="0.45">
      <c r="A139" s="198" t="str">
        <f>"Formula Overall Risk Index = (Supply Risk "&amp;TEXT(Config!B21,"0%")&amp;"×SR) + (Execution "&amp;TEXT(Config!B22,"0%")&amp;"×ER) + (Commercial "&amp;TEXT(Config!B23,"0%")&amp;"×CR)"</f>
        <v>Formula Overall Risk Index = (Supply Risk 40%×SR) + (Execution 40%×ER) + (Commercial 20%×CR)</v>
      </c>
      <c r="B139" s="147"/>
      <c r="C139" s="147"/>
      <c r="D139" s="147"/>
      <c r="E139" s="147"/>
      <c r="F139" s="147"/>
    </row>
    <row r="142" spans="1:6" x14ac:dyDescent="0.45">
      <c r="A142" s="78" t="s">
        <v>502</v>
      </c>
      <c r="B142" s="79"/>
      <c r="C142" s="79"/>
      <c r="D142" s="79"/>
      <c r="E142" s="79"/>
      <c r="F142" s="79"/>
    </row>
    <row r="144" spans="1:6" x14ac:dyDescent="0.45">
      <c r="A144" s="196" t="s">
        <v>503</v>
      </c>
      <c r="B144" s="147"/>
      <c r="C144" s="147"/>
      <c r="D144" s="147"/>
      <c r="E144" s="147"/>
      <c r="F144" s="147"/>
    </row>
    <row r="146" spans="1:3" x14ac:dyDescent="0.45">
      <c r="A146" s="80" t="s">
        <v>338</v>
      </c>
      <c r="B146" s="80" t="s">
        <v>504</v>
      </c>
      <c r="C146" s="80" t="s">
        <v>505</v>
      </c>
    </row>
    <row r="147" spans="1:3" x14ac:dyDescent="0.45">
      <c r="A147" s="125" t="str">
        <f>Config!A96</f>
        <v>High</v>
      </c>
      <c r="B147" s="126" t="str">
        <f>Config!B96&amp;" – "&amp;Config!C96</f>
        <v>20 – 25</v>
      </c>
      <c r="C147" s="82" t="s">
        <v>506</v>
      </c>
    </row>
    <row r="148" spans="1:3" x14ac:dyDescent="0.45">
      <c r="A148" s="127" t="str">
        <f>Config!A95</f>
        <v>Moderate to High</v>
      </c>
      <c r="B148" s="126" t="str">
        <f>Config!B95&amp;" – "&amp;Config!C95</f>
        <v>16 – 19</v>
      </c>
      <c r="C148" s="82" t="s">
        <v>507</v>
      </c>
    </row>
    <row r="149" spans="1:3" x14ac:dyDescent="0.45">
      <c r="A149" s="127" t="str">
        <f>Config!A94</f>
        <v>Moderate</v>
      </c>
      <c r="B149" s="126" t="str">
        <f>Config!B94&amp;" – "&amp;Config!C94</f>
        <v>12 – 15</v>
      </c>
      <c r="C149" s="82" t="s">
        <v>508</v>
      </c>
    </row>
    <row r="150" spans="1:3" ht="15.75" customHeight="1" x14ac:dyDescent="0.45">
      <c r="A150" s="127" t="str">
        <f>Config!A93</f>
        <v>Low to Moderate</v>
      </c>
      <c r="B150" s="126" t="str">
        <f>Config!B93&amp;" – "&amp;Config!C93</f>
        <v>6 – 11</v>
      </c>
      <c r="C150" s="82" t="s">
        <v>509</v>
      </c>
    </row>
    <row r="151" spans="1:3" x14ac:dyDescent="0.45">
      <c r="A151" s="125" t="str">
        <f>Config!A92</f>
        <v>Low</v>
      </c>
      <c r="B151" s="126" t="str">
        <f>Config!B92&amp;" – "&amp;Config!C92</f>
        <v>1 – 5</v>
      </c>
      <c r="C151" s="82" t="s">
        <v>510</v>
      </c>
    </row>
  </sheetData>
  <mergeCells count="97">
    <mergeCell ref="A15:E15"/>
    <mergeCell ref="A82:E82"/>
    <mergeCell ref="C75:E75"/>
    <mergeCell ref="C80:E80"/>
    <mergeCell ref="C22:E22"/>
    <mergeCell ref="C40:E40"/>
    <mergeCell ref="C31:E31"/>
    <mergeCell ref="C56:E56"/>
    <mergeCell ref="A61:E61"/>
    <mergeCell ref="C59:E59"/>
    <mergeCell ref="C20:E20"/>
    <mergeCell ref="C35:E35"/>
    <mergeCell ref="C63:E63"/>
    <mergeCell ref="A26:H26"/>
    <mergeCell ref="A43:F43"/>
    <mergeCell ref="C54:E54"/>
    <mergeCell ref="C23:E23"/>
    <mergeCell ref="C39:E39"/>
    <mergeCell ref="B127:D127"/>
    <mergeCell ref="C64:E64"/>
    <mergeCell ref="C29:E29"/>
    <mergeCell ref="C41:E41"/>
    <mergeCell ref="A90:F90"/>
    <mergeCell ref="C55:E55"/>
    <mergeCell ref="F38:H38"/>
    <mergeCell ref="F39:H39"/>
    <mergeCell ref="F40:H40"/>
    <mergeCell ref="F41:H41"/>
    <mergeCell ref="A119:F119"/>
    <mergeCell ref="F23:H23"/>
    <mergeCell ref="A3:E3"/>
    <mergeCell ref="C38:E38"/>
    <mergeCell ref="C72:E72"/>
    <mergeCell ref="B124:D124"/>
    <mergeCell ref="C32:E32"/>
    <mergeCell ref="C66:E66"/>
    <mergeCell ref="C28:E28"/>
    <mergeCell ref="C57:E57"/>
    <mergeCell ref="C37:E37"/>
    <mergeCell ref="C19:E19"/>
    <mergeCell ref="C18:E18"/>
    <mergeCell ref="C21:E21"/>
    <mergeCell ref="A70:E70"/>
    <mergeCell ref="C65:E65"/>
    <mergeCell ref="A69:E69"/>
    <mergeCell ref="C36:E36"/>
    <mergeCell ref="A144:F144"/>
    <mergeCell ref="A122:F122"/>
    <mergeCell ref="C67:E67"/>
    <mergeCell ref="C81:E81"/>
    <mergeCell ref="A139:F139"/>
    <mergeCell ref="C76:E76"/>
    <mergeCell ref="C71:E71"/>
    <mergeCell ref="A132:F132"/>
    <mergeCell ref="A78:E78"/>
    <mergeCell ref="A17:H17"/>
    <mergeCell ref="A5:E5"/>
    <mergeCell ref="B126:D126"/>
    <mergeCell ref="A14:E14"/>
    <mergeCell ref="C30:E30"/>
    <mergeCell ref="C24:E24"/>
    <mergeCell ref="C62:E62"/>
    <mergeCell ref="A53:E53"/>
    <mergeCell ref="C58:E58"/>
    <mergeCell ref="B125:D125"/>
    <mergeCell ref="C74:E74"/>
    <mergeCell ref="A52:E52"/>
    <mergeCell ref="C79:E79"/>
    <mergeCell ref="C73:E73"/>
    <mergeCell ref="F18:H18"/>
    <mergeCell ref="C27:E27"/>
    <mergeCell ref="F19:H19"/>
    <mergeCell ref="F20:H20"/>
    <mergeCell ref="F21:H21"/>
    <mergeCell ref="F22:H22"/>
    <mergeCell ref="F27:H27"/>
    <mergeCell ref="F24:H24"/>
    <mergeCell ref="F28:H28"/>
    <mergeCell ref="F29:H29"/>
    <mergeCell ref="F30:H30"/>
    <mergeCell ref="F31:H31"/>
    <mergeCell ref="F32:H32"/>
    <mergeCell ref="F33:H33"/>
    <mergeCell ref="F35:H35"/>
    <mergeCell ref="F36:H36"/>
    <mergeCell ref="F37:H37"/>
    <mergeCell ref="A34:H34"/>
    <mergeCell ref="L6:L7"/>
    <mergeCell ref="L8:L9"/>
    <mergeCell ref="L10:L11"/>
    <mergeCell ref="L12:L13"/>
    <mergeCell ref="L14:L15"/>
    <mergeCell ref="L16:L17"/>
    <mergeCell ref="L18:L19"/>
    <mergeCell ref="L20:L21"/>
    <mergeCell ref="L22:L23"/>
    <mergeCell ref="L24:L25"/>
  </mergeCells>
  <conditionalFormatting sqref="B25">
    <cfRule type="expression" dxfId="17" priority="5" stopIfTrue="1">
      <formula>ABS(B25-1)&gt;0.001</formula>
    </cfRule>
  </conditionalFormatting>
  <conditionalFormatting sqref="B33">
    <cfRule type="expression" dxfId="16" priority="1" stopIfTrue="1">
      <formula>ABS(B33-1)&gt;0.001</formula>
    </cfRule>
  </conditionalFormatting>
  <conditionalFormatting sqref="B42">
    <cfRule type="expression" dxfId="15" priority="7" stopIfTrue="1">
      <formula>ABS(B42-1)&gt;0.001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6A13"/>
    <pageSetUpPr fitToPage="1"/>
  </sheetPr>
  <dimension ref="B1:W37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19" sqref="A19"/>
      <selection pane="bottomRight" activeCell="B20" sqref="B20:L24"/>
    </sheetView>
  </sheetViews>
  <sheetFormatPr defaultColWidth="8.59765625" defaultRowHeight="14.25" x14ac:dyDescent="0.45"/>
  <cols>
    <col min="1" max="1" width="1.53125" customWidth="1"/>
    <col min="2" max="13" width="7.265625" customWidth="1"/>
    <col min="14" max="14" width="14.06640625" bestFit="1" customWidth="1"/>
    <col min="15" max="23" width="7.265625" customWidth="1"/>
  </cols>
  <sheetData>
    <row r="1" spans="2:23" ht="30" customHeight="1" x14ac:dyDescent="0.45">
      <c r="B1" s="242" t="s">
        <v>511</v>
      </c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8"/>
    </row>
    <row r="2" spans="2:23" ht="18" customHeight="1" x14ac:dyDescent="0.45">
      <c r="B2" s="220" t="str">
        <f ca="1">"Reporting Period: "&amp;TEXT(Input_Bulanan!D5, "mmmm yyyy")&amp;" | Status: "&amp;Input_Bulanan!F5&amp;" | Dicetak: "&amp;TEXT(TODAY(), "DD-MM-YYYY")</f>
        <v>Reporting Period: November 2026 | Status: Final | Dicetak: 24-07-2026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</row>
    <row r="3" spans="2:23" ht="6" customHeight="1" x14ac:dyDescent="0.45"/>
    <row r="4" spans="2:23" ht="19.5" customHeight="1" x14ac:dyDescent="0.45">
      <c r="B4" s="221" t="s">
        <v>512</v>
      </c>
      <c r="C4" s="176"/>
      <c r="D4" s="176"/>
      <c r="E4" s="176"/>
      <c r="F4" s="176"/>
      <c r="G4" s="176"/>
      <c r="H4" s="176"/>
      <c r="I4" s="176"/>
      <c r="J4" s="176"/>
      <c r="K4" s="176"/>
      <c r="L4" s="178"/>
      <c r="M4" s="221" t="s">
        <v>513</v>
      </c>
      <c r="N4" s="176"/>
      <c r="O4" s="176"/>
      <c r="P4" s="176"/>
      <c r="Q4" s="176"/>
      <c r="R4" s="176"/>
      <c r="S4" s="176"/>
      <c r="T4" s="176"/>
      <c r="U4" s="176"/>
      <c r="V4" s="176"/>
      <c r="W4" s="178"/>
    </row>
    <row r="5" spans="2:23" ht="15.75" customHeight="1" x14ac:dyDescent="0.45">
      <c r="B5" s="230" t="s">
        <v>372</v>
      </c>
      <c r="C5" s="176"/>
      <c r="D5" s="176"/>
      <c r="E5" s="176"/>
      <c r="F5" s="178"/>
      <c r="G5" s="230" t="s">
        <v>514</v>
      </c>
      <c r="H5" s="176"/>
      <c r="I5" s="176"/>
      <c r="J5" s="176"/>
      <c r="K5" s="176"/>
      <c r="L5" s="178"/>
      <c r="M5" s="230" t="s">
        <v>515</v>
      </c>
      <c r="N5" s="176"/>
      <c r="O5" s="176"/>
      <c r="P5" s="176"/>
      <c r="Q5" s="178"/>
      <c r="R5" s="215" t="s">
        <v>516</v>
      </c>
      <c r="S5" s="176"/>
      <c r="T5" s="176"/>
      <c r="U5" s="176"/>
      <c r="V5" s="176"/>
      <c r="W5" s="178"/>
    </row>
    <row r="6" spans="2:23" ht="15.75" customHeight="1" x14ac:dyDescent="0.45">
      <c r="B6" s="251">
        <f>((IF(Input_Bulanan!D12&gt;=1,100,Input_Bulanan!D12*100)*Config!B12)+(IF(Input_Bulanan!D14&gt;=1,100,Input_Bulanan!D14*100)*Config!B13)+(Input_Bulanan!D24*100*Config!B14)+(Input_Bulanan!D32*100*Config!B15)+(Input_Bulanan!D42*100*Config!B16))/100</f>
        <v>0.8276</v>
      </c>
      <c r="C6" s="224"/>
      <c r="D6" s="224"/>
      <c r="E6" s="224"/>
      <c r="F6" s="210"/>
      <c r="G6" s="228" t="s">
        <v>361</v>
      </c>
      <c r="H6" s="224"/>
      <c r="I6" s="224"/>
      <c r="J6" s="224"/>
      <c r="K6" s="209">
        <f>Input_Bulanan!D24</f>
        <v>0.80499999999999994</v>
      </c>
      <c r="L6" s="210"/>
      <c r="M6" s="223" t="str">
        <f>Input_Bulanan!D49</f>
        <v>Moderate to High</v>
      </c>
      <c r="N6" s="224"/>
      <c r="O6" s="224"/>
      <c r="P6" s="224"/>
      <c r="Q6" s="210"/>
      <c r="R6" s="1" t="s">
        <v>517</v>
      </c>
      <c r="S6" s="5" t="str">
        <f>IF(AND(Input_Bulanan!$G$75=1,Input_Bulanan!$F$75=5),Input_Bulanan!$C$75,IF(AND(Input_Bulanan!$G$76=1,Input_Bulanan!$F$76=5),Input_Bulanan!$C$76,IF(AND(Input_Bulanan!$G$77=1,Input_Bulanan!$F$77=5),Input_Bulanan!$C$77,IF(AND(Input_Bulanan!$G$78=1,Input_Bulanan!$F$78=5),Input_Bulanan!$C$78,""))))</f>
        <v/>
      </c>
      <c r="T6" s="3" t="str">
        <f>IF(AND(Input_Bulanan!$G$75=2,Input_Bulanan!$F$75=5),Input_Bulanan!$C$75,IF(AND(Input_Bulanan!$G$76=2,Input_Bulanan!$F$76=5),Input_Bulanan!$C$76,IF(AND(Input_Bulanan!$G$77=2,Input_Bulanan!$F$77=5),Input_Bulanan!$C$77,IF(AND(Input_Bulanan!$G$78=2,Input_Bulanan!$F$78=5),Input_Bulanan!$C$78,""))))</f>
        <v/>
      </c>
      <c r="U6" s="4" t="str">
        <f>IF(AND(Input_Bulanan!$G$75=3,Input_Bulanan!$F$75=5),Input_Bulanan!$C$75,IF(AND(Input_Bulanan!$G$76=3,Input_Bulanan!$F$76=5),Input_Bulanan!$C$76,IF(AND(Input_Bulanan!$G$77=3,Input_Bulanan!$F$77=5),Input_Bulanan!$C$77,IF(AND(Input_Bulanan!$G$78=3,Input_Bulanan!$F$78=5),Input_Bulanan!$C$78,""))))</f>
        <v/>
      </c>
      <c r="V6" s="2" t="str">
        <f>IF(AND(Input_Bulanan!$G$75=4,Input_Bulanan!$F$75=5),Input_Bulanan!$C$75,IF(AND(Input_Bulanan!$G$76=4,Input_Bulanan!$F$76=5),Input_Bulanan!$C$76,IF(AND(Input_Bulanan!$G$77=4,Input_Bulanan!$F$77=5),Input_Bulanan!$C$77,IF(AND(Input_Bulanan!$G$78=4,Input_Bulanan!$F$78=5),Input_Bulanan!$C$78,""))))</f>
        <v/>
      </c>
      <c r="W6" s="2" t="str">
        <f>IF(AND(Input_Bulanan!$G$75=5,Input_Bulanan!$F$75=5),Input_Bulanan!$C$75,IF(AND(Input_Bulanan!$G$76=5,Input_Bulanan!$F$76=5),Input_Bulanan!$C$76,IF(AND(Input_Bulanan!$G$77=5,Input_Bulanan!$F$77=5),Input_Bulanan!$C$77,IF(AND(Input_Bulanan!$G$78=5,Input_Bulanan!$F$78=5),Input_Bulanan!$C$78,""))))</f>
        <v/>
      </c>
    </row>
    <row r="7" spans="2:23" ht="15.75" customHeight="1" x14ac:dyDescent="0.45">
      <c r="B7" s="225"/>
      <c r="C7" s="147"/>
      <c r="D7" s="147"/>
      <c r="E7" s="147"/>
      <c r="F7" s="226"/>
      <c r="G7" s="227"/>
      <c r="H7" s="211"/>
      <c r="I7" s="211"/>
      <c r="J7" s="211"/>
      <c r="K7" s="211"/>
      <c r="L7" s="212"/>
      <c r="M7" s="225"/>
      <c r="N7" s="147"/>
      <c r="O7" s="147"/>
      <c r="P7" s="147"/>
      <c r="Q7" s="226"/>
      <c r="R7" s="1" t="s">
        <v>518</v>
      </c>
      <c r="S7" s="6" t="str">
        <f>IF(AND(Input_Bulanan!$G$75=1,Input_Bulanan!$F$75=4),Input_Bulanan!$C$75,IF(AND(Input_Bulanan!$G$76=1,Input_Bulanan!$F$76=4),Input_Bulanan!$C$76,IF(AND(Input_Bulanan!$G$77=1,Input_Bulanan!$F$77=4),Input_Bulanan!$C$77,IF(AND(Input_Bulanan!$G$78=1,Input_Bulanan!$F$78=4),Input_Bulanan!$C$78,""))))</f>
        <v/>
      </c>
      <c r="T7" s="5" t="str">
        <f>IF(AND(Input_Bulanan!$G$75=2,Input_Bulanan!$F$75=4),Input_Bulanan!$C$75,IF(AND(Input_Bulanan!$G$76=2,Input_Bulanan!$F$76=4),Input_Bulanan!$C$76,IF(AND(Input_Bulanan!$G$77=2,Input_Bulanan!$F$77=4),Input_Bulanan!$C$77,IF(AND(Input_Bulanan!$G$78=2,Input_Bulanan!$F$78=4),Input_Bulanan!$C$78,""))))</f>
        <v/>
      </c>
      <c r="U7" s="3" t="str">
        <f>IF(AND(Input_Bulanan!$G$75=3,Input_Bulanan!$F$75=4),Input_Bulanan!$C$75,IF(AND(Input_Bulanan!$G$76=3,Input_Bulanan!$F$76=4),Input_Bulanan!$C$76,IF(AND(Input_Bulanan!$G$77=3,Input_Bulanan!$F$77=4),Input_Bulanan!$C$77,IF(AND(Input_Bulanan!$G$78=3,Input_Bulanan!$F$78=4),Input_Bulanan!$C$78,""))))</f>
        <v/>
      </c>
      <c r="V7" s="4" t="str">
        <f>IF(AND(Input_Bulanan!$G$75=4,Input_Bulanan!$F$75=4),Input_Bulanan!$C$75,IF(AND(Input_Bulanan!$G$76=4,Input_Bulanan!$F$76=4),Input_Bulanan!$C$76,IF(AND(Input_Bulanan!$G$77=4,Input_Bulanan!$F$77=4),Input_Bulanan!$C$77,IF(AND(Input_Bulanan!$G$78=4,Input_Bulanan!$F$78=4),Input_Bulanan!$C$78,""))))</f>
        <v>C3</v>
      </c>
      <c r="W7" s="2" t="str">
        <f>IF(AND(Input_Bulanan!$G$75=5,Input_Bulanan!$F$75=4),Input_Bulanan!$C$75,IF(AND(Input_Bulanan!$G$76=5,Input_Bulanan!$F$76=4),Input_Bulanan!$C$76,IF(AND(Input_Bulanan!$G$77=5,Input_Bulanan!$F$77=4),Input_Bulanan!$C$77,IF(AND(Input_Bulanan!$G$78=5,Input_Bulanan!$F$78=4),Input_Bulanan!$C$78,""))))</f>
        <v>C1</v>
      </c>
    </row>
    <row r="8" spans="2:23" ht="15.75" customHeight="1" x14ac:dyDescent="0.45">
      <c r="B8" s="225"/>
      <c r="C8" s="147"/>
      <c r="D8" s="147"/>
      <c r="E8" s="147"/>
      <c r="F8" s="226"/>
      <c r="G8" s="228" t="s">
        <v>365</v>
      </c>
      <c r="H8" s="224"/>
      <c r="I8" s="224"/>
      <c r="J8" s="224"/>
      <c r="K8" s="209">
        <f>Input_Bulanan!D32</f>
        <v>0.72300000000000009</v>
      </c>
      <c r="L8" s="210"/>
      <c r="M8" s="225"/>
      <c r="N8" s="147"/>
      <c r="O8" s="147"/>
      <c r="P8" s="147"/>
      <c r="Q8" s="226"/>
      <c r="R8" s="1" t="s">
        <v>519</v>
      </c>
      <c r="S8" s="6" t="str">
        <f>IF(AND(Input_Bulanan!$G$75=1,Input_Bulanan!$F$75=3),Input_Bulanan!$C$75,IF(AND(Input_Bulanan!$G$76=1,Input_Bulanan!$F$76=3),Input_Bulanan!$C$76,IF(AND(Input_Bulanan!$G$77=1,Input_Bulanan!$F$77=3),Input_Bulanan!$C$77,IF(AND(Input_Bulanan!$G$78=1,Input_Bulanan!$F$78=3),Input_Bulanan!$C$78,""))))</f>
        <v/>
      </c>
      <c r="T8" s="5" t="str">
        <f>IF(AND(Input_Bulanan!$G$75=2,Input_Bulanan!$F$75=3),Input_Bulanan!$C$75,IF(AND(Input_Bulanan!$G$76=2,Input_Bulanan!$F$76=3),Input_Bulanan!$C$76,IF(AND(Input_Bulanan!$G$77=2,Input_Bulanan!$F$77=3),Input_Bulanan!$C$77,IF(AND(Input_Bulanan!$G$78=2,Input_Bulanan!$F$78=3),Input_Bulanan!$C$78,""))))</f>
        <v/>
      </c>
      <c r="U8" s="3" t="str">
        <f>IF(AND(Input_Bulanan!$G$75=3,Input_Bulanan!$F$75=3),Input_Bulanan!$C$75,IF(AND(Input_Bulanan!$G$76=3,Input_Bulanan!$F$76=3),Input_Bulanan!$C$76,IF(AND(Input_Bulanan!$G$77=3,Input_Bulanan!$F$77=3),Input_Bulanan!$C$77,IF(AND(Input_Bulanan!$G$78=3,Input_Bulanan!$F$78=3),Input_Bulanan!$C$78,""))))</f>
        <v>C4</v>
      </c>
      <c r="V8" s="4" t="str">
        <f>IF(AND(Input_Bulanan!$G$75=4,Input_Bulanan!$F$75=3),Input_Bulanan!$C$75,IF(AND(Input_Bulanan!$G$76=4,Input_Bulanan!$F$76=3),Input_Bulanan!$C$76,IF(AND(Input_Bulanan!$G$77=4,Input_Bulanan!$F$77=3),Input_Bulanan!$C$77,IF(AND(Input_Bulanan!$G$78=4,Input_Bulanan!$F$78=3),Input_Bulanan!$C$78,""))))</f>
        <v/>
      </c>
      <c r="W8" s="2" t="str">
        <f>IF(AND(Input_Bulanan!$G$75=5,Input_Bulanan!$F$75=3),Input_Bulanan!$C$75,IF(AND(Input_Bulanan!$G$76=5,Input_Bulanan!$F$76=3),Input_Bulanan!$C$76,IF(AND(Input_Bulanan!$G$77=5,Input_Bulanan!$F$77=3),Input_Bulanan!$C$77,IF(AND(Input_Bulanan!$G$78=5,Input_Bulanan!$F$78=3),Input_Bulanan!$C$78,""))))</f>
        <v/>
      </c>
    </row>
    <row r="9" spans="2:23" ht="15.75" customHeight="1" x14ac:dyDescent="0.45">
      <c r="B9" s="227"/>
      <c r="C9" s="211"/>
      <c r="D9" s="211"/>
      <c r="E9" s="211"/>
      <c r="F9" s="212"/>
      <c r="G9" s="227"/>
      <c r="H9" s="211"/>
      <c r="I9" s="211"/>
      <c r="J9" s="211"/>
      <c r="K9" s="211"/>
      <c r="L9" s="212"/>
      <c r="M9" s="227"/>
      <c r="N9" s="211"/>
      <c r="O9" s="211"/>
      <c r="P9" s="211"/>
      <c r="Q9" s="212"/>
      <c r="R9" s="1" t="s">
        <v>520</v>
      </c>
      <c r="S9" s="6" t="str">
        <f>IF(AND(Input_Bulanan!$G$75=1,Input_Bulanan!$F$75=2),Input_Bulanan!$C$75,IF(AND(Input_Bulanan!$G$76=1,Input_Bulanan!$F$76=2),Input_Bulanan!$C$76,IF(AND(Input_Bulanan!$G$77=1,Input_Bulanan!$F$77=2),Input_Bulanan!$C$77,IF(AND(Input_Bulanan!$G$78=1,Input_Bulanan!$F$78=2),Input_Bulanan!$C$78,""))))</f>
        <v/>
      </c>
      <c r="T9" s="5" t="str">
        <f>IF(AND(Input_Bulanan!$G$75=2,Input_Bulanan!$F$75=2),Input_Bulanan!$C$75,IF(AND(Input_Bulanan!$G$76=2,Input_Bulanan!$F$76=2),Input_Bulanan!$C$76,IF(AND(Input_Bulanan!$G$77=2,Input_Bulanan!$F$77=2),Input_Bulanan!$C$77,IF(AND(Input_Bulanan!$G$78=2,Input_Bulanan!$F$78=2),Input_Bulanan!$C$78,""))))</f>
        <v/>
      </c>
      <c r="U9" s="5" t="str">
        <f>IF(AND(Input_Bulanan!$G$75=3,Input_Bulanan!$F$75=2),Input_Bulanan!$C$75,IF(AND(Input_Bulanan!$G$76=3,Input_Bulanan!$F$76=2),Input_Bulanan!$C$76,IF(AND(Input_Bulanan!$G$77=3,Input_Bulanan!$F$77=2),Input_Bulanan!$C$77,IF(AND(Input_Bulanan!$G$78=3,Input_Bulanan!$F$78=2),Input_Bulanan!$C$78,""))))</f>
        <v/>
      </c>
      <c r="V9" s="4" t="str">
        <f>IF(AND(Input_Bulanan!$G$75=4,Input_Bulanan!$F$75=2),Input_Bulanan!$C$75,IF(AND(Input_Bulanan!$G$76=4,Input_Bulanan!$F$76=2),Input_Bulanan!$C$76,IF(AND(Input_Bulanan!$G$77=4,Input_Bulanan!$F$77=2),Input_Bulanan!$C$77,IF(AND(Input_Bulanan!$G$78=4,Input_Bulanan!$F$78=2),Input_Bulanan!$C$78,""))))</f>
        <v/>
      </c>
      <c r="W9" s="2" t="str">
        <f>IF(AND(Input_Bulanan!$G$75=5,Input_Bulanan!$F$75=2),Input_Bulanan!$C$75,IF(AND(Input_Bulanan!$G$76=5,Input_Bulanan!$F$76=2),Input_Bulanan!$C$76,IF(AND(Input_Bulanan!$G$77=5,Input_Bulanan!$F$77=2),Input_Bulanan!$C$77,IF(AND(Input_Bulanan!$G$78=5,Input_Bulanan!$F$78=2),Input_Bulanan!$C$78,""))))</f>
        <v/>
      </c>
    </row>
    <row r="10" spans="2:23" ht="15.75" customHeight="1" x14ac:dyDescent="0.45">
      <c r="B10" s="250" t="str">
        <f>IF(B6&gt;=0.9,"HIJAU - SEHAT",IF(B6&gt;=0.75,"KUNING - PANTAU",IF(B6&gt;=0.6,"ORANYE - WASPADA","MERAH - KRITIS")))</f>
        <v>KUNING - PANTAU</v>
      </c>
      <c r="C10" s="224"/>
      <c r="D10" s="224"/>
      <c r="E10" s="224"/>
      <c r="F10" s="210"/>
      <c r="G10" s="228" t="s">
        <v>369</v>
      </c>
      <c r="H10" s="224"/>
      <c r="I10" s="224"/>
      <c r="J10" s="224"/>
      <c r="K10" s="209">
        <f>Input_Bulanan!D42</f>
        <v>0.6100000000000001</v>
      </c>
      <c r="L10" s="210"/>
      <c r="M10" s="236" t="str">
        <f>"Skor Komposit: "&amp;TEXT(Input_Bulanan!D48,"0,00")&amp;" / 100"</f>
        <v>Skor Komposit: 73,32 / 100</v>
      </c>
      <c r="N10" s="224"/>
      <c r="O10" s="224"/>
      <c r="P10" s="224"/>
      <c r="Q10" s="210"/>
      <c r="R10" s="1" t="s">
        <v>521</v>
      </c>
      <c r="S10" s="6" t="str">
        <f>IF(AND(Input_Bulanan!$G$75=1,Input_Bulanan!$F$75=1),Input_Bulanan!$C$75,IF(AND(Input_Bulanan!$G$76=1,Input_Bulanan!$F$76=1),Input_Bulanan!$C$76,IF(AND(Input_Bulanan!$G$77=1,Input_Bulanan!$F$77=1),Input_Bulanan!$C$77,IF(AND(Input_Bulanan!$G$78=1,Input_Bulanan!$F$78=1),Input_Bulanan!$C$78,""))))</f>
        <v/>
      </c>
      <c r="T10" s="6" t="str">
        <f>IF(AND(Input_Bulanan!$G$75=2,Input_Bulanan!$F$75=1),Input_Bulanan!$C$75,IF(AND(Input_Bulanan!$G$76=2,Input_Bulanan!$F$76=1),Input_Bulanan!$C$76,IF(AND(Input_Bulanan!$G$77=2,Input_Bulanan!$F$77=1),Input_Bulanan!$C$77,IF(AND(Input_Bulanan!$G$78=2,Input_Bulanan!$F$78=1),Input_Bulanan!$C$78,""))))</f>
        <v/>
      </c>
      <c r="U10" s="5" t="str">
        <f>IF(AND(Input_Bulanan!$G$75=3,Input_Bulanan!$F$75=1),Input_Bulanan!$C$75,IF(AND(Input_Bulanan!$G$76=3,Input_Bulanan!$F$76=1),Input_Bulanan!$C$76,IF(AND(Input_Bulanan!$G$77=3,Input_Bulanan!$F$77=1),Input_Bulanan!$C$77,IF(AND(Input_Bulanan!$G$78=3,Input_Bulanan!$F$78=1),Input_Bulanan!$C$78,""))))</f>
        <v/>
      </c>
      <c r="V10" s="3" t="str">
        <f>IF(AND(Input_Bulanan!$G$75=4,Input_Bulanan!$F$75=1),Input_Bulanan!$C$75,IF(AND(Input_Bulanan!$G$76=4,Input_Bulanan!$F$76=1),Input_Bulanan!$C$76,IF(AND(Input_Bulanan!$G$77=4,Input_Bulanan!$F$77=1),Input_Bulanan!$C$77,IF(AND(Input_Bulanan!$G$78=4,Input_Bulanan!$F$78=1),Input_Bulanan!$C$78,""))))</f>
        <v/>
      </c>
      <c r="W10" s="2" t="str">
        <f>IF(AND(Input_Bulanan!$G$75=5,Input_Bulanan!$F$75=1),Input_Bulanan!$C$75,IF(AND(Input_Bulanan!$G$76=5,Input_Bulanan!$F$76=1),Input_Bulanan!$C$76,IF(AND(Input_Bulanan!$G$77=5,Input_Bulanan!$F$77=1),Input_Bulanan!$C$77,IF(AND(Input_Bulanan!$G$78=5,Input_Bulanan!$F$78=1),Input_Bulanan!$C$78,""))))</f>
        <v/>
      </c>
    </row>
    <row r="11" spans="2:23" ht="12" customHeight="1" x14ac:dyDescent="0.45">
      <c r="B11" s="227"/>
      <c r="C11" s="211"/>
      <c r="D11" s="211"/>
      <c r="E11" s="211"/>
      <c r="F11" s="212"/>
      <c r="G11" s="227"/>
      <c r="H11" s="211"/>
      <c r="I11" s="211"/>
      <c r="J11" s="211"/>
      <c r="K11" s="211"/>
      <c r="L11" s="212"/>
      <c r="M11" s="227"/>
      <c r="N11" s="211"/>
      <c r="O11" s="211"/>
      <c r="P11" s="211"/>
      <c r="Q11" s="212"/>
      <c r="R11" s="7" t="s">
        <v>522</v>
      </c>
      <c r="S11" s="8">
        <v>1</v>
      </c>
      <c r="T11" s="8">
        <v>2</v>
      </c>
      <c r="U11" s="8">
        <v>3</v>
      </c>
      <c r="V11" s="8">
        <v>4</v>
      </c>
      <c r="W11" s="8">
        <v>5</v>
      </c>
    </row>
    <row r="12" spans="2:23" ht="15.75" customHeight="1" x14ac:dyDescent="0.45">
      <c r="B12" s="230" t="s">
        <v>523</v>
      </c>
      <c r="C12" s="176"/>
      <c r="D12" s="176"/>
      <c r="E12" s="176"/>
      <c r="F12" s="178"/>
      <c r="G12" s="230" t="s">
        <v>524</v>
      </c>
      <c r="H12" s="176"/>
      <c r="I12" s="176"/>
      <c r="J12" s="176"/>
      <c r="K12" s="176"/>
      <c r="L12" s="178"/>
      <c r="M12" s="230" t="s">
        <v>525</v>
      </c>
      <c r="N12" s="176"/>
      <c r="O12" s="176"/>
      <c r="P12" s="176"/>
      <c r="Q12" s="178"/>
      <c r="R12" s="230" t="s">
        <v>526</v>
      </c>
      <c r="S12" s="176"/>
      <c r="T12" s="176"/>
      <c r="U12" s="176"/>
      <c r="V12" s="176"/>
      <c r="W12" s="178"/>
    </row>
    <row r="13" spans="2:23" ht="24" customHeight="1" x14ac:dyDescent="0.45">
      <c r="B13" s="216" t="s">
        <v>527</v>
      </c>
      <c r="C13" s="176"/>
      <c r="D13" s="178"/>
      <c r="E13" s="233">
        <f>Input_Bulanan!D12</f>
        <v>2</v>
      </c>
      <c r="F13" s="178"/>
      <c r="G13" s="246" t="s">
        <v>528</v>
      </c>
      <c r="H13" s="176"/>
      <c r="I13" s="178"/>
      <c r="J13" s="235">
        <f>Input_Bulanan!D8</f>
        <v>1000</v>
      </c>
      <c r="K13" s="176"/>
      <c r="L13" s="178"/>
      <c r="M13" s="229" t="s">
        <v>36</v>
      </c>
      <c r="N13" s="176"/>
      <c r="O13" s="178"/>
      <c r="P13" s="247">
        <f>Input_Bulanan!D52</f>
        <v>5</v>
      </c>
      <c r="Q13" s="178"/>
      <c r="R13" s="9" t="str">
        <f>Input_Bulanan!C75</f>
        <v>C1</v>
      </c>
      <c r="S13" s="240" t="str">
        <f>Input_Bulanan!D75&amp;" | L="&amp;Input_Bulanan!F75&amp;", C="&amp;Input_Bulanan!G75&amp;", Skala="&amp;Input_Bulanan!H75&amp;" -&gt; "&amp;Input_Bulanan!I75</f>
        <v>Salt Supply Disruption (gangguan pasokan garam industri) | L=4, C=5, Skala=24 -&gt; High</v>
      </c>
      <c r="T13" s="176"/>
      <c r="U13" s="176"/>
      <c r="V13" s="176"/>
      <c r="W13" s="176"/>
    </row>
    <row r="14" spans="2:23" ht="24" customHeight="1" x14ac:dyDescent="0.45">
      <c r="B14" s="216" t="s">
        <v>529</v>
      </c>
      <c r="C14" s="176"/>
      <c r="D14" s="178"/>
      <c r="E14" s="233">
        <f>Input_Bulanan!D14</f>
        <v>1</v>
      </c>
      <c r="F14" s="178"/>
      <c r="G14" s="246" t="s">
        <v>530</v>
      </c>
      <c r="H14" s="176"/>
      <c r="I14" s="178"/>
      <c r="J14" s="235">
        <f>Input_Bulanan!D9</f>
        <v>1000</v>
      </c>
      <c r="K14" s="176"/>
      <c r="L14" s="178"/>
      <c r="M14" s="229" t="s">
        <v>37</v>
      </c>
      <c r="N14" s="176"/>
      <c r="O14" s="178"/>
      <c r="P14" s="238">
        <f>Input_Bulanan!D53</f>
        <v>11</v>
      </c>
      <c r="Q14" s="178"/>
      <c r="R14" s="9" t="str">
        <f>Input_Bulanan!C76</f>
        <v>C2</v>
      </c>
      <c r="S14" s="240" t="str">
        <f>Input_Bulanan!D76&amp;" | L="&amp;Input_Bulanan!F76&amp;", C="&amp;Input_Bulanan!G76&amp;", Skala="&amp;Input_Bulanan!H76&amp;" -&gt; "&amp;Input_Bulanan!I76</f>
        <v>Commissioning Delay (keterlambatan commissioning) | L=4, C=5, Skala=24 -&gt; High</v>
      </c>
      <c r="T14" s="176"/>
      <c r="U14" s="176"/>
      <c r="V14" s="176"/>
      <c r="W14" s="176"/>
    </row>
    <row r="15" spans="2:23" ht="24" customHeight="1" x14ac:dyDescent="0.45">
      <c r="B15" s="216" t="s">
        <v>531</v>
      </c>
      <c r="C15" s="176"/>
      <c r="D15" s="178"/>
      <c r="E15" s="218">
        <f>Input_Bulanan!D13</f>
        <v>500</v>
      </c>
      <c r="F15" s="178"/>
      <c r="G15" s="246" t="s">
        <v>532</v>
      </c>
      <c r="H15" s="176"/>
      <c r="I15" s="178"/>
      <c r="J15" s="235">
        <f>Input_Bulanan!D10</f>
        <v>500</v>
      </c>
      <c r="K15" s="176"/>
      <c r="L15" s="178"/>
      <c r="M15" s="229" t="s">
        <v>38</v>
      </c>
      <c r="N15" s="176"/>
      <c r="O15" s="178"/>
      <c r="P15" s="248">
        <f>Input_Bulanan!D54</f>
        <v>18</v>
      </c>
      <c r="Q15" s="178"/>
      <c r="R15" s="9" t="str">
        <f>Input_Bulanan!C77</f>
        <v>C3</v>
      </c>
      <c r="S15" s="240" t="str">
        <f>Input_Bulanan!D77&amp;" | L="&amp;Input_Bulanan!F77&amp;", C="&amp;Input_Bulanan!G77&amp;", Skala="&amp;Input_Bulanan!H77&amp;" -&gt; "&amp;Input_Bulanan!I77</f>
        <v>EPC Interface Issue (isu EPC interface lintas kontraktor) | L=4, C=4, Skala=19 -&gt; Moderate to High</v>
      </c>
      <c r="T15" s="176"/>
      <c r="U15" s="176"/>
      <c r="V15" s="176"/>
      <c r="W15" s="176"/>
    </row>
    <row r="16" spans="2:23" ht="24" customHeight="1" x14ac:dyDescent="0.45">
      <c r="B16" s="216" t="s">
        <v>533</v>
      </c>
      <c r="C16" s="176"/>
      <c r="D16" s="178"/>
      <c r="E16" s="218">
        <f>Input_Bulanan!D15</f>
        <v>0</v>
      </c>
      <c r="F16" s="178"/>
      <c r="G16" s="219" t="s">
        <v>534</v>
      </c>
      <c r="H16" s="176"/>
      <c r="I16" s="176"/>
      <c r="J16" s="176"/>
      <c r="K16" s="176"/>
      <c r="L16" s="178"/>
      <c r="M16" s="229" t="s">
        <v>39</v>
      </c>
      <c r="N16" s="176"/>
      <c r="O16" s="178"/>
      <c r="P16" s="213">
        <f>Input_Bulanan!D55</f>
        <v>4</v>
      </c>
      <c r="Q16" s="178"/>
      <c r="R16" s="9" t="str">
        <f>Input_Bulanan!C78</f>
        <v>C4</v>
      </c>
      <c r="S16" s="240" t="str">
        <f>Input_Bulanan!D78&amp;" | L="&amp;Input_Bulanan!F78&amp;", C="&amp;Input_Bulanan!G78&amp;", Skala="&amp;Input_Bulanan!H78&amp;" -&gt; "&amp;Input_Bulanan!I78</f>
        <v>Long Lead Equipment (keterlambatan peralatan utama) | L=3, C=3, Skala=13 -&gt; Moderate</v>
      </c>
      <c r="T16" s="176"/>
      <c r="U16" s="176"/>
      <c r="V16" s="176"/>
      <c r="W16" s="176"/>
    </row>
    <row r="17" spans="2:23" ht="15" customHeight="1" x14ac:dyDescent="0.45">
      <c r="L17" s="86"/>
      <c r="M17" s="229" t="s">
        <v>40</v>
      </c>
      <c r="N17" s="176"/>
      <c r="O17" s="178"/>
      <c r="P17" s="213">
        <f>Input_Bulanan!D56</f>
        <v>3</v>
      </c>
      <c r="Q17" s="178"/>
    </row>
    <row r="18" spans="2:23" x14ac:dyDescent="0.45">
      <c r="M18" s="85" t="s">
        <v>41</v>
      </c>
      <c r="N18" s="83"/>
      <c r="O18" s="84"/>
      <c r="P18" s="217">
        <f>Input_Bulanan!D57</f>
        <v>41</v>
      </c>
      <c r="Q18" s="178"/>
    </row>
    <row r="19" spans="2:23" ht="15.75" customHeight="1" x14ac:dyDescent="0.45"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</row>
    <row r="20" spans="2:23" ht="15" customHeight="1" x14ac:dyDescent="0.45">
      <c r="B20" s="241" t="s">
        <v>535</v>
      </c>
      <c r="C20" s="224"/>
      <c r="D20" s="224"/>
      <c r="E20" s="224"/>
      <c r="F20" s="224"/>
      <c r="G20" s="224"/>
      <c r="H20" s="224"/>
      <c r="I20" s="224"/>
      <c r="J20" s="224"/>
      <c r="K20" s="224"/>
      <c r="L20" s="210"/>
      <c r="M20" s="241" t="s">
        <v>536</v>
      </c>
      <c r="N20" s="176"/>
      <c r="O20" s="176"/>
      <c r="P20" s="176"/>
      <c r="Q20" s="178"/>
    </row>
    <row r="21" spans="2:23" ht="15" customHeight="1" x14ac:dyDescent="0.45">
      <c r="B21" s="225"/>
      <c r="C21" s="147"/>
      <c r="D21" s="147"/>
      <c r="E21" s="147"/>
      <c r="F21" s="147"/>
      <c r="G21" s="147"/>
      <c r="H21" s="147"/>
      <c r="I21" s="147"/>
      <c r="J21" s="147"/>
      <c r="K21" s="147"/>
      <c r="L21" s="226"/>
      <c r="M21" s="216" t="s">
        <v>537</v>
      </c>
      <c r="N21" s="176"/>
      <c r="O21" s="178"/>
      <c r="P21" s="231">
        <f>Input_Bulanan!D60</f>
        <v>0.82</v>
      </c>
      <c r="Q21" s="178"/>
    </row>
    <row r="22" spans="2:23" ht="15" customHeight="1" x14ac:dyDescent="0.45">
      <c r="B22" s="225"/>
      <c r="C22" s="147"/>
      <c r="D22" s="147"/>
      <c r="E22" s="147"/>
      <c r="F22" s="147"/>
      <c r="G22" s="147"/>
      <c r="H22" s="147"/>
      <c r="I22" s="147"/>
      <c r="J22" s="147"/>
      <c r="K22" s="147"/>
      <c r="L22" s="226"/>
      <c r="M22" s="216" t="s">
        <v>538</v>
      </c>
      <c r="N22" s="176"/>
      <c r="O22" s="178"/>
      <c r="P22" s="231">
        <f>Input_Bulanan!D61</f>
        <v>0.18</v>
      </c>
      <c r="Q22" s="178"/>
    </row>
    <row r="23" spans="2:23" ht="15" customHeight="1" x14ac:dyDescent="0.45">
      <c r="B23" s="225"/>
      <c r="C23" s="147"/>
      <c r="D23" s="147"/>
      <c r="E23" s="147"/>
      <c r="F23" s="147"/>
      <c r="G23" s="147"/>
      <c r="H23" s="147"/>
      <c r="I23" s="147"/>
      <c r="J23" s="147"/>
      <c r="K23" s="147"/>
      <c r="L23" s="226"/>
      <c r="M23" s="216" t="s">
        <v>539</v>
      </c>
      <c r="N23" s="176"/>
      <c r="O23" s="178"/>
      <c r="P23" s="231">
        <f>Input_Bulanan!D62</f>
        <v>0.76</v>
      </c>
      <c r="Q23" s="178"/>
    </row>
    <row r="24" spans="2:23" ht="14.25" customHeight="1" x14ac:dyDescent="0.45">
      <c r="B24" s="227"/>
      <c r="C24" s="211"/>
      <c r="D24" s="211"/>
      <c r="E24" s="211"/>
      <c r="F24" s="211"/>
      <c r="G24" s="211"/>
      <c r="H24" s="211"/>
      <c r="I24" s="211"/>
      <c r="J24" s="211"/>
      <c r="K24" s="211"/>
      <c r="L24" s="212"/>
      <c r="M24" s="216" t="s">
        <v>49</v>
      </c>
      <c r="N24" s="176"/>
      <c r="O24" s="178"/>
      <c r="P24" s="243">
        <f>Input_Bulanan!D63</f>
        <v>5</v>
      </c>
      <c r="Q24" s="178"/>
    </row>
    <row r="25" spans="2:23" ht="18" customHeight="1" x14ac:dyDescent="0.45"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</row>
    <row r="26" spans="2:23" ht="15.75" customHeight="1" x14ac:dyDescent="0.45">
      <c r="B26" s="234" t="s">
        <v>540</v>
      </c>
      <c r="C26" s="176"/>
      <c r="D26" s="176"/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8"/>
    </row>
    <row r="27" spans="2:23" ht="25.5" customHeight="1" x14ac:dyDescent="0.45">
      <c r="B27" s="232" t="s">
        <v>195</v>
      </c>
      <c r="C27" s="176"/>
      <c r="D27" s="176"/>
      <c r="E27" s="176"/>
      <c r="F27" s="178"/>
      <c r="G27" s="232" t="s">
        <v>541</v>
      </c>
      <c r="H27" s="176"/>
      <c r="I27" s="176"/>
      <c r="J27" s="178"/>
      <c r="K27" s="232" t="s">
        <v>542</v>
      </c>
      <c r="L27" s="178"/>
      <c r="M27" s="12" t="s">
        <v>477</v>
      </c>
      <c r="N27" s="12" t="s">
        <v>479</v>
      </c>
      <c r="O27" s="12" t="s">
        <v>480</v>
      </c>
      <c r="P27" s="232" t="s">
        <v>543</v>
      </c>
      <c r="Q27" s="176"/>
      <c r="R27" s="176"/>
      <c r="S27" s="176"/>
      <c r="T27" s="176"/>
      <c r="U27" s="176"/>
      <c r="V27" s="176"/>
      <c r="W27" s="178"/>
    </row>
    <row r="28" spans="2:23" ht="25.5" customHeight="1" x14ac:dyDescent="0.45">
      <c r="B28" s="246" t="str">
        <f>Input_Bulanan!C67</f>
        <v>First Shipment</v>
      </c>
      <c r="C28" s="176"/>
      <c r="D28" s="176"/>
      <c r="E28" s="176"/>
      <c r="F28" s="178"/>
      <c r="G28" s="208" t="str">
        <f>Input_Bulanan!D67</f>
        <v>Target: 1 Nov 27 (Lower is better)</v>
      </c>
      <c r="H28" s="176"/>
      <c r="I28" s="176"/>
      <c r="J28" s="178"/>
      <c r="K28" s="244" t="str">
        <f>TEXT(Input_Bulanan!E67,"dd-mmm-yy")</f>
        <v>03-Oct-27</v>
      </c>
      <c r="L28" s="178"/>
      <c r="M28" s="87" t="str">
        <f>IF(Input_Bulanan!H67="Aman","V","")</f>
        <v/>
      </c>
      <c r="N28" s="87" t="str">
        <f>IF(Input_Bulanan!H67="Waspada","V","")</f>
        <v>V</v>
      </c>
      <c r="O28" s="87" t="str">
        <f>IF(Input_Bulanan!H67="Bahaya","V","")</f>
        <v/>
      </c>
      <c r="P28" s="207" t="s">
        <v>544</v>
      </c>
      <c r="Q28" s="176"/>
      <c r="R28" s="176"/>
      <c r="S28" s="176"/>
      <c r="T28" s="176"/>
      <c r="U28" s="176"/>
      <c r="V28" s="176"/>
      <c r="W28" s="178"/>
    </row>
    <row r="29" spans="2:23" ht="25.5" customHeight="1" x14ac:dyDescent="0.45">
      <c r="B29" s="206" t="str">
        <f>Input_Bulanan!C68</f>
        <v>Project Progress</v>
      </c>
      <c r="C29" s="176"/>
      <c r="D29" s="176"/>
      <c r="E29" s="176"/>
      <c r="F29" s="178"/>
      <c r="G29" s="239" t="str">
        <f>Input_Bulanan!D68</f>
        <v>Minimal 90% (Higher is better)</v>
      </c>
      <c r="H29" s="176"/>
      <c r="I29" s="176"/>
      <c r="J29" s="178"/>
      <c r="K29" s="214" t="str">
        <f>TEXT(Input_Bulanan!E68,"0%")</f>
        <v>90%</v>
      </c>
      <c r="L29" s="178"/>
      <c r="M29" s="87" t="str">
        <f>IF(Input_Bulanan!H68="Aman","V","")</f>
        <v>V</v>
      </c>
      <c r="N29" s="87" t="str">
        <f>IF(Input_Bulanan!H68="Waspada","V","")</f>
        <v/>
      </c>
      <c r="O29" s="87" t="str">
        <f>IF(Input_Bulanan!H68="Bahaya","V","")</f>
        <v/>
      </c>
      <c r="P29" s="237" t="s">
        <v>545</v>
      </c>
      <c r="Q29" s="176"/>
      <c r="R29" s="176"/>
      <c r="S29" s="176"/>
      <c r="T29" s="176"/>
      <c r="U29" s="176"/>
      <c r="V29" s="176"/>
      <c r="W29" s="178"/>
    </row>
    <row r="30" spans="2:23" ht="25.5" customHeight="1" x14ac:dyDescent="0.45">
      <c r="B30" s="246" t="str">
        <f>Input_Bulanan!C69</f>
        <v>Offtaker Agreement</v>
      </c>
      <c r="C30" s="176"/>
      <c r="D30" s="176"/>
      <c r="E30" s="176"/>
      <c r="F30" s="178"/>
      <c r="G30" s="208" t="str">
        <f>Input_Bulanan!D69</f>
        <v>Target SPI &gt;= 1.00 (Higher is better)</v>
      </c>
      <c r="H30" s="176"/>
      <c r="I30" s="176"/>
      <c r="J30" s="178"/>
      <c r="K30" s="245" t="str">
        <f>TEXT(Input_Bulanan!E69,"0%")</f>
        <v>90%</v>
      </c>
      <c r="L30" s="178"/>
      <c r="M30" s="87" t="str">
        <f>IF(Input_Bulanan!H69="Aman","V","")</f>
        <v/>
      </c>
      <c r="N30" s="87" t="str">
        <f>IF(Input_Bulanan!H69="Waspada","V","")</f>
        <v>V</v>
      </c>
      <c r="O30" s="87" t="str">
        <f>IF(Input_Bulanan!H69="Bahaya","V","")</f>
        <v/>
      </c>
      <c r="P30" s="207" t="s">
        <v>546</v>
      </c>
      <c r="Q30" s="176"/>
      <c r="R30" s="176"/>
      <c r="S30" s="176"/>
      <c r="T30" s="176"/>
      <c r="U30" s="176"/>
      <c r="V30" s="176"/>
      <c r="W30" s="178"/>
    </row>
    <row r="31" spans="2:23" ht="25.5" customHeight="1" x14ac:dyDescent="0.45">
      <c r="B31" s="206"/>
      <c r="C31" s="176"/>
      <c r="D31" s="176"/>
      <c r="E31" s="176"/>
      <c r="F31" s="178"/>
      <c r="G31" s="239"/>
      <c r="H31" s="176"/>
      <c r="I31" s="176"/>
      <c r="J31" s="178"/>
      <c r="K31" s="214"/>
      <c r="L31" s="178"/>
      <c r="M31" s="87"/>
      <c r="N31" s="87"/>
      <c r="O31" s="87"/>
      <c r="P31" s="237"/>
      <c r="Q31" s="176"/>
      <c r="R31" s="176"/>
      <c r="S31" s="176"/>
      <c r="T31" s="176"/>
      <c r="U31" s="176"/>
      <c r="V31" s="176"/>
      <c r="W31" s="178"/>
    </row>
    <row r="32" spans="2:23" ht="25.5" customHeight="1" x14ac:dyDescent="0.45">
      <c r="B32" s="246"/>
      <c r="C32" s="176"/>
      <c r="D32" s="176"/>
      <c r="E32" s="176"/>
      <c r="F32" s="178"/>
      <c r="G32" s="208"/>
      <c r="H32" s="176"/>
      <c r="I32" s="176"/>
      <c r="J32" s="178"/>
      <c r="K32" s="249"/>
      <c r="L32" s="178"/>
      <c r="M32" s="87"/>
      <c r="N32" s="87"/>
      <c r="O32" s="87"/>
      <c r="P32" s="207"/>
      <c r="Q32" s="176"/>
      <c r="R32" s="176"/>
      <c r="S32" s="176"/>
      <c r="T32" s="176"/>
      <c r="U32" s="176"/>
      <c r="V32" s="176"/>
      <c r="W32" s="178"/>
    </row>
    <row r="33" spans="2:23" x14ac:dyDescent="0.45">
      <c r="B33" s="206"/>
      <c r="C33" s="176"/>
      <c r="D33" s="176"/>
      <c r="E33" s="176"/>
      <c r="F33" s="178"/>
      <c r="G33" s="239"/>
      <c r="H33" s="176"/>
      <c r="I33" s="176"/>
      <c r="J33" s="178"/>
      <c r="K33" s="214"/>
      <c r="L33" s="178"/>
      <c r="M33" s="87"/>
      <c r="N33" s="87"/>
      <c r="O33" s="87"/>
      <c r="P33" s="237"/>
      <c r="Q33" s="176"/>
      <c r="R33" s="176"/>
      <c r="S33" s="176"/>
      <c r="T33" s="176"/>
      <c r="U33" s="176"/>
      <c r="V33" s="176"/>
      <c r="W33" s="178"/>
    </row>
    <row r="34" spans="2:23" ht="18" customHeight="1" x14ac:dyDescent="0.45"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</row>
    <row r="35" spans="2:23" ht="15" customHeight="1" x14ac:dyDescent="0.45">
      <c r="B35" s="234" t="s">
        <v>547</v>
      </c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8"/>
    </row>
    <row r="36" spans="2:23" ht="33" customHeight="1" x14ac:dyDescent="0.45">
      <c r="B36" s="222" t="str">
        <f>"Prioritas 1—2: [1] " &amp; INDEX(Risk_Action_Tracker!E$6:E$15, MATCH(LARGE(Risk_Action_Tracker!Z$6:Z$15, 1), Risk_Action_Tracker!Z$6:Z$15, 0)) &amp; " · [2] " &amp; INDEX(Risk_Action_Tracker!E$6:E$15, MATCH(LARGE(Risk_Action_Tracker!Z$6:Z$15, 2), Risk_Action_Tracker!Z$6:Z$15, 0))</f>
        <v>Prioritas 1—2: [1] Mengesahkan pembentukan tim Interface Coordinator dan menerapkan Interface Management Plan (IMP) yang mengikat seluruh kontraktor; mengharuskan Rekind menyelaraskan jadwal penyusunan gambar detail dengan kemajuan ISBL EPC-A. · [2] Memberikan dispensasi perpanjangan jaminan pelaksanaan secara terkendali; meminta Parent Company Guarantee dari PT Perusahaan Induk X (Persero) untuk menjamin ketersediaan pendanaan bila Rekind menghadapi kendala likuiditas.</v>
      </c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8"/>
    </row>
    <row r="37" spans="2:23" ht="42.4" customHeight="1" x14ac:dyDescent="0.45">
      <c r="B37" s="222" t="s">
        <v>548</v>
      </c>
      <c r="C37" s="176"/>
      <c r="D37" s="176"/>
      <c r="E37" s="176"/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8"/>
    </row>
  </sheetData>
  <mergeCells count="98">
    <mergeCell ref="M4:W4"/>
    <mergeCell ref="G13:I13"/>
    <mergeCell ref="K33:L33"/>
    <mergeCell ref="B10:F11"/>
    <mergeCell ref="B27:F27"/>
    <mergeCell ref="G15:I15"/>
    <mergeCell ref="G32:J32"/>
    <mergeCell ref="M21:O21"/>
    <mergeCell ref="K8:L9"/>
    <mergeCell ref="P22:Q22"/>
    <mergeCell ref="G5:L5"/>
    <mergeCell ref="B31:F31"/>
    <mergeCell ref="K29:L29"/>
    <mergeCell ref="B6:F9"/>
    <mergeCell ref="M17:O17"/>
    <mergeCell ref="B26:W26"/>
    <mergeCell ref="B36:W36"/>
    <mergeCell ref="S14:W14"/>
    <mergeCell ref="K10:L11"/>
    <mergeCell ref="M24:O24"/>
    <mergeCell ref="S13:W13"/>
    <mergeCell ref="M12:Q12"/>
    <mergeCell ref="B32:F32"/>
    <mergeCell ref="B28:F28"/>
    <mergeCell ref="S15:W15"/>
    <mergeCell ref="P13:Q13"/>
    <mergeCell ref="B30:F30"/>
    <mergeCell ref="J13:L13"/>
    <mergeCell ref="P15:Q15"/>
    <mergeCell ref="P31:W31"/>
    <mergeCell ref="G31:J31"/>
    <mergeCell ref="K32:L32"/>
    <mergeCell ref="B1:W1"/>
    <mergeCell ref="P24:Q24"/>
    <mergeCell ref="K28:L28"/>
    <mergeCell ref="J15:L15"/>
    <mergeCell ref="K30:L30"/>
    <mergeCell ref="M22:O22"/>
    <mergeCell ref="P29:W29"/>
    <mergeCell ref="G29:J29"/>
    <mergeCell ref="E14:F14"/>
    <mergeCell ref="R12:W12"/>
    <mergeCell ref="M5:Q5"/>
    <mergeCell ref="M15:O15"/>
    <mergeCell ref="M20:Q20"/>
    <mergeCell ref="G14:I14"/>
    <mergeCell ref="B5:F5"/>
    <mergeCell ref="B13:D13"/>
    <mergeCell ref="B35:W35"/>
    <mergeCell ref="G6:J7"/>
    <mergeCell ref="B25:W25"/>
    <mergeCell ref="M14:O14"/>
    <mergeCell ref="M23:O23"/>
    <mergeCell ref="K27:L27"/>
    <mergeCell ref="G12:L12"/>
    <mergeCell ref="J14:L14"/>
    <mergeCell ref="E16:F16"/>
    <mergeCell ref="M10:Q11"/>
    <mergeCell ref="P33:W33"/>
    <mergeCell ref="P14:Q14"/>
    <mergeCell ref="G33:J33"/>
    <mergeCell ref="B14:D14"/>
    <mergeCell ref="S16:W16"/>
    <mergeCell ref="B20:L24"/>
    <mergeCell ref="B2:W2"/>
    <mergeCell ref="B34:W34"/>
    <mergeCell ref="B4:L4"/>
    <mergeCell ref="B37:W37"/>
    <mergeCell ref="M6:Q9"/>
    <mergeCell ref="G8:J9"/>
    <mergeCell ref="M13:O13"/>
    <mergeCell ref="M16:O16"/>
    <mergeCell ref="G10:J11"/>
    <mergeCell ref="B12:F12"/>
    <mergeCell ref="P21:Q21"/>
    <mergeCell ref="P27:W27"/>
    <mergeCell ref="B15:D15"/>
    <mergeCell ref="G27:J27"/>
    <mergeCell ref="P23:Q23"/>
    <mergeCell ref="E13:F13"/>
    <mergeCell ref="R5:W5"/>
    <mergeCell ref="P28:W28"/>
    <mergeCell ref="B16:D16"/>
    <mergeCell ref="G28:J28"/>
    <mergeCell ref="P18:Q18"/>
    <mergeCell ref="P17:Q17"/>
    <mergeCell ref="E15:F15"/>
    <mergeCell ref="B19:L19"/>
    <mergeCell ref="G16:L16"/>
    <mergeCell ref="B33:F33"/>
    <mergeCell ref="P30:W30"/>
    <mergeCell ref="G30:J30"/>
    <mergeCell ref="M19:Q19"/>
    <mergeCell ref="K6:L7"/>
    <mergeCell ref="P16:Q16"/>
    <mergeCell ref="P32:W32"/>
    <mergeCell ref="K31:L31"/>
    <mergeCell ref="B29:F29"/>
  </mergeCells>
  <conditionalFormatting sqref="B10:F11">
    <cfRule type="expression" dxfId="14" priority="2">
      <formula>B6&gt;=0.9</formula>
    </cfRule>
    <cfRule type="expression" dxfId="13" priority="3">
      <formula>AND(B6&gt;=0.75,B6&lt;0.9)</formula>
    </cfRule>
    <cfRule type="expression" dxfId="12" priority="4">
      <formula>AND(B6&gt;=0.6,B6&lt;0.75)</formula>
    </cfRule>
    <cfRule type="expression" dxfId="11" priority="5">
      <formula>B6&lt;0.6</formula>
    </cfRule>
  </conditionalFormatting>
  <conditionalFormatting sqref="M27:M32">
    <cfRule type="cellIs" dxfId="10" priority="11" operator="equal">
      <formula>"V"</formula>
    </cfRule>
  </conditionalFormatting>
  <conditionalFormatting sqref="M6:Q9">
    <cfRule type="cellIs" dxfId="9" priority="6" operator="equal">
      <formula>"Low"</formula>
    </cfRule>
    <cfRule type="cellIs" dxfId="8" priority="7" operator="equal">
      <formula>"Low to Moderate"</formula>
    </cfRule>
    <cfRule type="cellIs" dxfId="7" priority="8" operator="equal">
      <formula>"Moderate"</formula>
    </cfRule>
    <cfRule type="cellIs" dxfId="6" priority="9" operator="equal">
      <formula>"Moderate to High"</formula>
    </cfRule>
    <cfRule type="cellIs" dxfId="5" priority="10" operator="equal">
      <formula>"High"</formula>
    </cfRule>
  </conditionalFormatting>
  <conditionalFormatting sqref="N27:N32">
    <cfRule type="cellIs" dxfId="4" priority="12" operator="equal">
      <formula>"V"</formula>
    </cfRule>
  </conditionalFormatting>
  <conditionalFormatting sqref="O27:O33">
    <cfRule type="cellIs" dxfId="3" priority="13" operator="equal">
      <formula>"V"</formula>
    </cfRule>
  </conditionalFormatting>
  <pageMargins left="0.75" right="0.75" top="1" bottom="1" header="0.511811023622047" footer="0.511811023622047"/>
  <pageSetup paperSize="8" orientation="landscape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2C230"/>
  </sheetPr>
  <dimension ref="C2:I78"/>
  <sheetViews>
    <sheetView showGridLines="0" tabSelected="1" zoomScale="99" zoomScaleNormal="100" workbookViewId="0">
      <selection activeCell="D6" sqref="D6"/>
    </sheetView>
  </sheetViews>
  <sheetFormatPr defaultColWidth="8.59765625" defaultRowHeight="14.25" x14ac:dyDescent="0.45"/>
  <cols>
    <col min="1" max="1" width="2" customWidth="1"/>
    <col min="2" max="2" width="3" customWidth="1"/>
    <col min="3" max="3" width="58.796875" customWidth="1"/>
    <col min="4" max="4" width="25.33203125" bestFit="1" customWidth="1"/>
    <col min="5" max="5" width="27.19921875" bestFit="1" customWidth="1"/>
    <col min="6" max="6" width="20.59765625" bestFit="1" customWidth="1"/>
    <col min="7" max="7" width="38" customWidth="1"/>
    <col min="8" max="8" width="16.73046875" bestFit="1" customWidth="1"/>
    <col min="9" max="9" width="20" customWidth="1"/>
  </cols>
  <sheetData>
    <row r="2" spans="3:7" ht="19.5" customHeight="1" x14ac:dyDescent="0.5">
      <c r="C2" s="13" t="s">
        <v>0</v>
      </c>
    </row>
    <row r="3" spans="3:7" ht="15.75" customHeight="1" x14ac:dyDescent="0.45">
      <c r="C3" s="146" t="s">
        <v>1</v>
      </c>
      <c r="D3" s="147"/>
      <c r="E3" s="147"/>
      <c r="F3" s="147"/>
      <c r="G3" s="147"/>
    </row>
    <row r="4" spans="3:7" x14ac:dyDescent="0.45">
      <c r="C4" s="93" t="s">
        <v>2</v>
      </c>
      <c r="D4" s="105" t="str">
        <f>Config!B6</f>
        <v>PT Pupuk Kaltim</v>
      </c>
      <c r="F4" s="93" t="s">
        <v>3</v>
      </c>
      <c r="G4" s="105" t="str">
        <f>Config!B7</f>
        <v>Soda Ash</v>
      </c>
    </row>
    <row r="5" spans="3:7" ht="15.75" customHeight="1" x14ac:dyDescent="0.45">
      <c r="C5" s="45" t="s">
        <v>4</v>
      </c>
      <c r="D5" s="109">
        <v>46327</v>
      </c>
      <c r="E5" s="45" t="s">
        <v>5</v>
      </c>
      <c r="F5" s="46" t="s">
        <v>6</v>
      </c>
    </row>
    <row r="7" spans="3:7" ht="19.5" customHeight="1" x14ac:dyDescent="0.45">
      <c r="C7" s="142" t="s">
        <v>7</v>
      </c>
      <c r="D7" s="141" t="s">
        <v>17</v>
      </c>
    </row>
    <row r="8" spans="3:7" ht="15.75" customHeight="1" x14ac:dyDescent="0.45">
      <c r="C8" s="47" t="s">
        <v>8</v>
      </c>
      <c r="D8" s="48">
        <v>1000</v>
      </c>
    </row>
    <row r="9" spans="3:7" ht="15.75" customHeight="1" x14ac:dyDescent="0.45">
      <c r="C9" s="47" t="s">
        <v>9</v>
      </c>
      <c r="D9" s="48">
        <v>1000</v>
      </c>
    </row>
    <row r="10" spans="3:7" ht="15.75" customHeight="1" x14ac:dyDescent="0.45">
      <c r="C10" s="47" t="s">
        <v>10</v>
      </c>
      <c r="D10" s="48">
        <v>500</v>
      </c>
    </row>
    <row r="11" spans="3:7" ht="15.75" customHeight="1" x14ac:dyDescent="0.45">
      <c r="C11" s="47" t="s">
        <v>11</v>
      </c>
      <c r="D11" s="48">
        <v>77.599999999999994</v>
      </c>
    </row>
    <row r="12" spans="3:7" ht="15.75" customHeight="1" x14ac:dyDescent="0.45">
      <c r="C12" s="45" t="s">
        <v>12</v>
      </c>
      <c r="D12" s="49">
        <f>D9/D10</f>
        <v>2</v>
      </c>
    </row>
    <row r="13" spans="3:7" ht="15.75" customHeight="1" x14ac:dyDescent="0.45">
      <c r="C13" s="45" t="s">
        <v>13</v>
      </c>
      <c r="D13" s="50">
        <f>D9-D10</f>
        <v>500</v>
      </c>
    </row>
    <row r="14" spans="3:7" ht="15.75" customHeight="1" x14ac:dyDescent="0.45">
      <c r="C14" s="45" t="s">
        <v>14</v>
      </c>
      <c r="D14" s="49">
        <f>D9/D8</f>
        <v>1</v>
      </c>
    </row>
    <row r="15" spans="3:7" ht="15.75" customHeight="1" x14ac:dyDescent="0.45">
      <c r="C15" s="45" t="s">
        <v>15</v>
      </c>
      <c r="D15" s="50">
        <f>D9-D8</f>
        <v>0</v>
      </c>
    </row>
    <row r="17" spans="3:6" ht="19.5" customHeight="1" x14ac:dyDescent="0.45">
      <c r="C17" s="142" t="s">
        <v>16</v>
      </c>
      <c r="D17" s="141" t="s">
        <v>17</v>
      </c>
      <c r="E17" s="141" t="s">
        <v>18</v>
      </c>
      <c r="F17" s="141" t="s">
        <v>19</v>
      </c>
    </row>
    <row r="18" spans="3:6" ht="15.75" customHeight="1" x14ac:dyDescent="0.45">
      <c r="C18" s="47" t="str">
        <f>Referensi_Threshold!A19 &amp; " (Bobot: " &amp; TEXT(E18, "0%") &amp; ")"</f>
        <v>Salt Contract (Bobot: 25%)</v>
      </c>
      <c r="D18" s="51">
        <v>0.82</v>
      </c>
      <c r="E18" s="138">
        <f>Referensi_Threshold!B19</f>
        <v>0.25</v>
      </c>
      <c r="F18" s="139">
        <f t="shared" ref="F18:F23" si="0">D18*E18</f>
        <v>0.20499999999999999</v>
      </c>
    </row>
    <row r="19" spans="3:6" ht="15.75" customHeight="1" x14ac:dyDescent="0.45">
      <c r="C19" s="47" t="str">
        <f>Referensi_Threshold!A20 &amp; " (Bobot: " &amp; TEXT(E19, "0%") &amp; ")"</f>
        <v>Salt Inventory (Bobot: 20%)</v>
      </c>
      <c r="D19" s="51">
        <v>0.8</v>
      </c>
      <c r="E19" s="138">
        <f>Referensi_Threshold!B20</f>
        <v>0.2</v>
      </c>
      <c r="F19" s="139">
        <f t="shared" si="0"/>
        <v>0.16000000000000003</v>
      </c>
    </row>
    <row r="20" spans="3:6" ht="15.75" customHeight="1" x14ac:dyDescent="0.45">
      <c r="C20" s="47" t="str">
        <f>Referensi_Threshold!A21 &amp; " (Bobot: " &amp; TEXT(E20, "0%") &amp; ")"</f>
        <v>Supplier Qualification (Bobot: 15%)</v>
      </c>
      <c r="D20" s="51">
        <v>0.75</v>
      </c>
      <c r="E20" s="138">
        <f>Referensi_Threshold!B21</f>
        <v>0.15</v>
      </c>
      <c r="F20" s="139">
        <f t="shared" si="0"/>
        <v>0.11249999999999999</v>
      </c>
    </row>
    <row r="21" spans="3:6" ht="15.75" customHeight="1" x14ac:dyDescent="0.45">
      <c r="C21" s="47" t="str">
        <f>Referensi_Threshold!A22 &amp; " (Bobot: " &amp; TEXT(E21, "0%") &amp; ")"</f>
        <v>Shipping Readiness (Bobot: 15%)</v>
      </c>
      <c r="D21" s="51">
        <v>0.85</v>
      </c>
      <c r="E21" s="138">
        <f>Referensi_Threshold!B22</f>
        <v>0.15</v>
      </c>
      <c r="F21" s="139">
        <f t="shared" si="0"/>
        <v>0.1275</v>
      </c>
    </row>
    <row r="22" spans="3:6" ht="15.75" customHeight="1" x14ac:dyDescent="0.45">
      <c r="C22" s="47" t="str">
        <f>Referensi_Threshold!A23 &amp; " (Bobot: " &amp; TEXT(E22, "0%") &amp; ")"</f>
        <v>Utility Readiness (Bobot: 15%)</v>
      </c>
      <c r="D22" s="51">
        <v>0.8</v>
      </c>
      <c r="E22" s="138">
        <f>Referensi_Threshold!B23</f>
        <v>0.15</v>
      </c>
      <c r="F22" s="139">
        <f t="shared" si="0"/>
        <v>0.12</v>
      </c>
    </row>
    <row r="23" spans="3:6" ht="15.75" customHeight="1" x14ac:dyDescent="0.45">
      <c r="C23" s="47" t="str">
        <f>Referensi_Threshold!A24 &amp; " (Bobot: " &amp; TEXT(E23, "0%") &amp; ")"</f>
        <v>Salt Readiness (Bobot: 10%)</v>
      </c>
      <c r="D23" s="51">
        <v>0.8</v>
      </c>
      <c r="E23" s="138">
        <f>Referensi_Threshold!B24</f>
        <v>0.1</v>
      </c>
      <c r="F23" s="139">
        <f t="shared" si="0"/>
        <v>8.0000000000000016E-2</v>
      </c>
    </row>
    <row r="24" spans="3:6" ht="15.75" customHeight="1" x14ac:dyDescent="0.45">
      <c r="C24" s="45" t="s">
        <v>21</v>
      </c>
      <c r="D24" s="106">
        <f>F24</f>
        <v>0.80499999999999994</v>
      </c>
      <c r="E24" s="138">
        <f>SUM(E18:E23)</f>
        <v>1</v>
      </c>
      <c r="F24" s="140">
        <f>SUM(F18:F23)</f>
        <v>0.80499999999999994</v>
      </c>
    </row>
    <row r="26" spans="3:6" ht="19.5" customHeight="1" x14ac:dyDescent="0.45">
      <c r="C26" s="142" t="s">
        <v>22</v>
      </c>
      <c r="D26" s="141" t="s">
        <v>17</v>
      </c>
      <c r="E26" s="141" t="s">
        <v>18</v>
      </c>
      <c r="F26" s="141" t="s">
        <v>19</v>
      </c>
    </row>
    <row r="27" spans="3:6" ht="15.75" customHeight="1" x14ac:dyDescent="0.45">
      <c r="C27" s="47" t="str">
        <f>Referensi_Threshold!A28 &amp; " (Bobot: " &amp; TEXT(E27, "0%") &amp; ")"</f>
        <v>Engineering Progress (Bobot: 20%)</v>
      </c>
      <c r="D27" s="51">
        <v>0.88</v>
      </c>
      <c r="E27" s="138">
        <f>Referensi_Threshold!B28</f>
        <v>0.2</v>
      </c>
      <c r="F27" s="139">
        <f>D27*E27</f>
        <v>0.17600000000000002</v>
      </c>
    </row>
    <row r="28" spans="3:6" ht="15.75" customHeight="1" x14ac:dyDescent="0.45">
      <c r="C28" s="47" t="str">
        <f>Referensi_Threshold!A29 &amp; " (Bobot: " &amp; TEXT(E28, "0%") &amp; ")"</f>
        <v>Procurement Progress (Bobot: 30%)</v>
      </c>
      <c r="D28" s="51">
        <v>0.73</v>
      </c>
      <c r="E28" s="138">
        <f>Referensi_Threshold!B29</f>
        <v>0.3</v>
      </c>
      <c r="F28" s="139">
        <f>D28*E28</f>
        <v>0.219</v>
      </c>
    </row>
    <row r="29" spans="3:6" ht="15.75" customHeight="1" x14ac:dyDescent="0.45">
      <c r="C29" s="47" t="str">
        <f>Referensi_Threshold!A30 &amp; " (Bobot: " &amp; TEXT(E29, "0%") &amp; ")"</f>
        <v>Construction Progress (Bobot: 30%)</v>
      </c>
      <c r="D29" s="51">
        <v>0.82</v>
      </c>
      <c r="E29" s="138">
        <f>Referensi_Threshold!B30</f>
        <v>0.3</v>
      </c>
      <c r="F29" s="139">
        <f>D29*E29</f>
        <v>0.24599999999999997</v>
      </c>
    </row>
    <row r="30" spans="3:6" ht="15.75" customHeight="1" x14ac:dyDescent="0.45">
      <c r="C30" s="47" t="str">
        <f>Referensi_Threshold!A31 &amp; " (Bobot: " &amp; TEXT(E30, "0%") &amp; ")"</f>
        <v>Commissioning Preparation (Bobot: 10%)</v>
      </c>
      <c r="D30" s="51">
        <v>0.42</v>
      </c>
      <c r="E30" s="138">
        <f>Referensi_Threshold!B31</f>
        <v>0.1</v>
      </c>
      <c r="F30" s="139">
        <f>D30*E30</f>
        <v>4.2000000000000003E-2</v>
      </c>
    </row>
    <row r="31" spans="3:6" ht="15.75" customHeight="1" x14ac:dyDescent="0.45">
      <c r="C31" s="47" t="str">
        <f>Referensi_Threshold!A32 &amp; " (Bobot: " &amp; TEXT(E31, "0%") &amp; ")"</f>
        <v>Pencapaian Performance Test (Bobot: 10%)</v>
      </c>
      <c r="D31" s="51">
        <v>0.4</v>
      </c>
      <c r="E31" s="138">
        <f>Referensi_Threshold!B32</f>
        <v>0.1</v>
      </c>
      <c r="F31" s="139">
        <f>D31*E31</f>
        <v>4.0000000000000008E-2</v>
      </c>
    </row>
    <row r="32" spans="3:6" ht="15.75" customHeight="1" x14ac:dyDescent="0.45">
      <c r="C32" s="45" t="s">
        <v>24</v>
      </c>
      <c r="D32" s="106">
        <f>F32</f>
        <v>0.72300000000000009</v>
      </c>
      <c r="E32" s="138">
        <f>SUM(E27:E31)</f>
        <v>1</v>
      </c>
      <c r="F32" s="140">
        <f>SUM(F27:F31)</f>
        <v>0.72300000000000009</v>
      </c>
    </row>
    <row r="33" spans="3:6" ht="15.75" customHeight="1" x14ac:dyDescent="0.45">
      <c r="C33" s="47" t="s">
        <v>25</v>
      </c>
      <c r="D33" s="51">
        <v>5.8000000000000003E-2</v>
      </c>
    </row>
    <row r="35" spans="3:6" ht="19.5" customHeight="1" x14ac:dyDescent="0.45">
      <c r="C35" s="142" t="s">
        <v>26</v>
      </c>
      <c r="D35" s="141" t="s">
        <v>17</v>
      </c>
      <c r="E35" s="141" t="s">
        <v>18</v>
      </c>
      <c r="F35" s="141" t="s">
        <v>19</v>
      </c>
    </row>
    <row r="36" spans="3:6" ht="15.75" customHeight="1" x14ac:dyDescent="0.45">
      <c r="C36" s="47" t="str">
        <f>Referensi_Threshold!A36 &amp; " (Bobot: " &amp; TEXT(E36, "0%") &amp; ")"</f>
        <v>Offtake Agreement (Bobot: 20%)</v>
      </c>
      <c r="D36" s="51">
        <v>0.6</v>
      </c>
      <c r="E36" s="138">
        <f>Referensi_Threshold!B36</f>
        <v>0.2</v>
      </c>
      <c r="F36" s="139">
        <f t="shared" ref="F36:F41" si="1">D36*E36</f>
        <v>0.12</v>
      </c>
    </row>
    <row r="37" spans="3:6" ht="15.75" customHeight="1" x14ac:dyDescent="0.45">
      <c r="C37" s="47" t="str">
        <f>Referensi_Threshold!A37 &amp; " (Bobot: " &amp; TEXT(E37, "0%") &amp; ")"</f>
        <v>Marketing Strategy (Bobot: 20%)</v>
      </c>
      <c r="D37" s="51">
        <v>0.6</v>
      </c>
      <c r="E37" s="138">
        <f>Referensi_Threshold!B37</f>
        <v>0.2</v>
      </c>
      <c r="F37" s="139">
        <f t="shared" si="1"/>
        <v>0.12</v>
      </c>
    </row>
    <row r="38" spans="3:6" ht="15.75" customHeight="1" x14ac:dyDescent="0.45">
      <c r="C38" s="47" t="str">
        <f>Referensi_Threshold!A38 &amp; " (Bobot: " &amp; TEXT(E38, "0%") &amp; ")"</f>
        <v>Distribution Readiness (Bobot: 10%)</v>
      </c>
      <c r="D38" s="51">
        <v>0.8</v>
      </c>
      <c r="E38" s="138">
        <f>Referensi_Threshold!B38</f>
        <v>0.1</v>
      </c>
      <c r="F38" s="139">
        <f t="shared" si="1"/>
        <v>8.0000000000000016E-2</v>
      </c>
    </row>
    <row r="39" spans="3:6" ht="15.75" customHeight="1" x14ac:dyDescent="0.45">
      <c r="C39" s="47" t="str">
        <f>Referensi_Threshold!A39 &amp; " (Bobot: " &amp; TEXT(E39, "0%") &amp; ")"</f>
        <v>Operation Team Ready (Bobot: 20%)</v>
      </c>
      <c r="D39" s="51">
        <v>0.8</v>
      </c>
      <c r="E39" s="138">
        <f>Referensi_Threshold!B39</f>
        <v>0.2</v>
      </c>
      <c r="F39" s="139">
        <f t="shared" si="1"/>
        <v>0.16000000000000003</v>
      </c>
    </row>
    <row r="40" spans="3:6" ht="15.75" customHeight="1" x14ac:dyDescent="0.45">
      <c r="C40" s="47" t="str">
        <f>Referensi_Threshold!A40 &amp; " (Bobot: " &amp; TEXT(E40, "0%") &amp; ")"</f>
        <v>Product Qualification (Bobot: 20%)</v>
      </c>
      <c r="D40" s="51">
        <v>0.4</v>
      </c>
      <c r="E40" s="138">
        <f>Referensi_Threshold!B40</f>
        <v>0.2</v>
      </c>
      <c r="F40" s="139">
        <f t="shared" si="1"/>
        <v>8.0000000000000016E-2</v>
      </c>
    </row>
    <row r="41" spans="3:6" ht="15.75" customHeight="1" x14ac:dyDescent="0.45">
      <c r="C41" s="47" t="str">
        <f>Referensi_Threshold!A41 &amp; " (Bobot: " &amp; TEXT(E41, "0%") &amp; ")"</f>
        <v>Regulatory Readiness (Bobot: 10%)</v>
      </c>
      <c r="D41" s="51">
        <v>0.5</v>
      </c>
      <c r="E41" s="138">
        <f>Referensi_Threshold!B41</f>
        <v>0.1</v>
      </c>
      <c r="F41" s="139">
        <f t="shared" si="1"/>
        <v>0.05</v>
      </c>
    </row>
    <row r="42" spans="3:6" ht="15.75" customHeight="1" x14ac:dyDescent="0.45">
      <c r="C42" s="45" t="s">
        <v>28</v>
      </c>
      <c r="D42" s="106">
        <f>F42</f>
        <v>0.6100000000000001</v>
      </c>
      <c r="E42" s="138">
        <f>SUM(E36:E41)</f>
        <v>0.99999999999999989</v>
      </c>
      <c r="F42" s="140">
        <f>SUM(F36:F41)</f>
        <v>0.6100000000000001</v>
      </c>
    </row>
    <row r="44" spans="3:6" ht="19.5" customHeight="1" x14ac:dyDescent="0.45">
      <c r="C44" s="142" t="s">
        <v>29</v>
      </c>
      <c r="D44" s="141" t="s">
        <v>17</v>
      </c>
      <c r="E44" s="141" t="s">
        <v>18</v>
      </c>
    </row>
    <row r="45" spans="3:6" ht="15.75" customHeight="1" x14ac:dyDescent="0.45">
      <c r="C45" s="47" t="s">
        <v>30</v>
      </c>
      <c r="D45" s="88">
        <f>D24*100</f>
        <v>80.5</v>
      </c>
      <c r="E45" s="138">
        <f>Config!B21</f>
        <v>0.4</v>
      </c>
    </row>
    <row r="46" spans="3:6" ht="15.75" customHeight="1" x14ac:dyDescent="0.45">
      <c r="C46" s="47" t="s">
        <v>31</v>
      </c>
      <c r="D46" s="88">
        <f>D32*100</f>
        <v>72.300000000000011</v>
      </c>
      <c r="E46" s="138">
        <f>Config!B22</f>
        <v>0.4</v>
      </c>
    </row>
    <row r="47" spans="3:6" ht="15.75" customHeight="1" x14ac:dyDescent="0.45">
      <c r="C47" s="47" t="s">
        <v>32</v>
      </c>
      <c r="D47" s="88">
        <f>D42*100</f>
        <v>61.000000000000007</v>
      </c>
      <c r="E47" s="138">
        <f>Config!B23</f>
        <v>0.2</v>
      </c>
    </row>
    <row r="48" spans="3:6" ht="15.75" customHeight="1" x14ac:dyDescent="0.45">
      <c r="C48" s="45" t="s">
        <v>33</v>
      </c>
      <c r="D48" s="89">
        <f>(D45*E45)+(D46*E46)+(D47*E47)</f>
        <v>73.320000000000007</v>
      </c>
    </row>
    <row r="49" spans="3:7" ht="15.75" customHeight="1" x14ac:dyDescent="0.45">
      <c r="C49" s="45" t="s">
        <v>34</v>
      </c>
      <c r="D49" s="53" t="str">
        <f>IF(D48&lt;=20,"Low",IF(D48&lt;=44,"Low to Moderate",IF(D48&lt;=60,"Moderate",IF(D48&lt;=76,"Moderate to High","High"))))</f>
        <v>Moderate to High</v>
      </c>
    </row>
    <row r="51" spans="3:7" ht="19.5" customHeight="1" x14ac:dyDescent="0.45">
      <c r="C51" s="148" t="s">
        <v>35</v>
      </c>
      <c r="D51" s="147"/>
      <c r="E51" s="147"/>
      <c r="F51" s="147"/>
      <c r="G51" s="147"/>
    </row>
    <row r="52" spans="3:7" ht="15.75" customHeight="1" x14ac:dyDescent="0.45">
      <c r="C52" s="72" t="s">
        <v>36</v>
      </c>
      <c r="D52" s="54">
        <v>5</v>
      </c>
    </row>
    <row r="53" spans="3:7" ht="15.75" customHeight="1" x14ac:dyDescent="0.45">
      <c r="C53" s="73" t="s">
        <v>37</v>
      </c>
      <c r="D53" s="54">
        <v>11</v>
      </c>
    </row>
    <row r="54" spans="3:7" ht="15.75" customHeight="1" x14ac:dyDescent="0.45">
      <c r="C54" s="74" t="s">
        <v>38</v>
      </c>
      <c r="D54" s="54">
        <v>18</v>
      </c>
    </row>
    <row r="55" spans="3:7" ht="15.75" customHeight="1" x14ac:dyDescent="0.45">
      <c r="C55" s="75" t="s">
        <v>39</v>
      </c>
      <c r="D55" s="54">
        <v>4</v>
      </c>
    </row>
    <row r="56" spans="3:7" ht="15.75" customHeight="1" x14ac:dyDescent="0.45">
      <c r="C56" s="71" t="s">
        <v>40</v>
      </c>
      <c r="D56" s="54">
        <v>3</v>
      </c>
    </row>
    <row r="57" spans="3:7" x14ac:dyDescent="0.45">
      <c r="C57" s="76" t="s">
        <v>41</v>
      </c>
      <c r="D57" s="77">
        <f>SUM(D52:D56)</f>
        <v>41</v>
      </c>
    </row>
    <row r="58" spans="3:7" ht="19.5" customHeight="1" x14ac:dyDescent="0.45">
      <c r="C58" s="147"/>
      <c r="D58" s="147"/>
      <c r="E58" s="147"/>
      <c r="F58" s="147"/>
      <c r="G58" s="147"/>
    </row>
    <row r="59" spans="3:7" ht="15.75" customHeight="1" x14ac:dyDescent="0.45">
      <c r="C59" s="148" t="s">
        <v>42</v>
      </c>
      <c r="D59" s="147"/>
      <c r="E59" s="147"/>
      <c r="F59" s="147"/>
      <c r="G59" s="147"/>
    </row>
    <row r="60" spans="3:7" ht="15.75" customHeight="1" x14ac:dyDescent="0.45">
      <c r="C60" s="47" t="s">
        <v>43</v>
      </c>
      <c r="D60" s="51">
        <v>0.82</v>
      </c>
      <c r="E60" s="47" t="s">
        <v>44</v>
      </c>
      <c r="F60" s="54">
        <v>2</v>
      </c>
    </row>
    <row r="61" spans="3:7" ht="15.75" customHeight="1" x14ac:dyDescent="0.45">
      <c r="C61" s="47" t="s">
        <v>45</v>
      </c>
      <c r="D61" s="51">
        <v>0.18</v>
      </c>
      <c r="E61" s="47" t="s">
        <v>46</v>
      </c>
      <c r="F61" s="54">
        <v>3</v>
      </c>
    </row>
    <row r="62" spans="3:7" ht="15.75" customHeight="1" x14ac:dyDescent="0.45">
      <c r="C62" s="47" t="s">
        <v>47</v>
      </c>
      <c r="D62" s="51">
        <v>0.76</v>
      </c>
      <c r="E62" s="47" t="s">
        <v>48</v>
      </c>
      <c r="F62" s="54">
        <v>5</v>
      </c>
    </row>
    <row r="63" spans="3:7" ht="38.25" customHeight="1" x14ac:dyDescent="0.45">
      <c r="C63" s="47" t="s">
        <v>49</v>
      </c>
      <c r="D63" s="54">
        <v>5</v>
      </c>
      <c r="E63" s="47" t="s">
        <v>50</v>
      </c>
      <c r="F63" s="54">
        <v>4</v>
      </c>
    </row>
    <row r="64" spans="3:7" ht="19.5" customHeight="1" x14ac:dyDescent="0.45">
      <c r="C64" s="147"/>
      <c r="D64" s="147"/>
      <c r="E64" s="147"/>
      <c r="F64" s="147"/>
      <c r="G64" s="147"/>
    </row>
    <row r="65" spans="3:9" ht="15.75" customHeight="1" x14ac:dyDescent="0.45">
      <c r="C65" s="148" t="s">
        <v>51</v>
      </c>
      <c r="D65" s="147"/>
      <c r="E65" s="147"/>
      <c r="F65" s="147"/>
      <c r="G65" s="147"/>
    </row>
    <row r="66" spans="3:9" ht="15.75" customHeight="1" x14ac:dyDescent="0.45">
      <c r="C66" s="14" t="s">
        <v>52</v>
      </c>
      <c r="D66" s="14" t="s">
        <v>53</v>
      </c>
      <c r="E66" s="14" t="s">
        <v>54</v>
      </c>
      <c r="F66" s="14" t="s">
        <v>55</v>
      </c>
      <c r="G66" s="14" t="s">
        <v>56</v>
      </c>
      <c r="H66" s="14" t="s">
        <v>57</v>
      </c>
    </row>
    <row r="67" spans="3:9" ht="15.75" customHeight="1" x14ac:dyDescent="0.45">
      <c r="C67" s="47" t="s">
        <v>58</v>
      </c>
      <c r="D67" s="136" t="s">
        <v>59</v>
      </c>
      <c r="E67" s="110">
        <v>46663</v>
      </c>
      <c r="F67" s="94">
        <v>46661</v>
      </c>
      <c r="G67" s="111">
        <v>30</v>
      </c>
      <c r="H67" s="55" t="str">
        <f>IF(E67&lt;=F67, "Aman", IF(E67&lt;=(F67+G67), "Waspada", "Bahaya"))</f>
        <v>Waspada</v>
      </c>
    </row>
    <row r="68" spans="3:9" ht="15.75" customHeight="1" x14ac:dyDescent="0.45">
      <c r="C68" s="47" t="s">
        <v>60</v>
      </c>
      <c r="D68" s="137" t="s">
        <v>61</v>
      </c>
      <c r="E68" s="51">
        <v>0.9</v>
      </c>
      <c r="F68" s="56">
        <v>0.9</v>
      </c>
      <c r="G68" s="56">
        <v>0.05</v>
      </c>
      <c r="H68" s="55" t="str">
        <f>IF(E68&gt;=F68, "Aman", IF(E68&gt;=(F68-G68), "Waspada", "Bahaya"))</f>
        <v>Aman</v>
      </c>
    </row>
    <row r="69" spans="3:9" ht="15.75" customHeight="1" x14ac:dyDescent="0.45">
      <c r="C69" s="47" t="s">
        <v>62</v>
      </c>
      <c r="D69" s="137" t="s">
        <v>63</v>
      </c>
      <c r="E69" s="52">
        <v>0.9</v>
      </c>
      <c r="F69" s="57">
        <v>1</v>
      </c>
      <c r="G69" s="57">
        <v>0.1</v>
      </c>
      <c r="H69" s="55" t="str">
        <f>IF(E69&gt;=F69, "Aman", IF(E69&gt;=(F69-G69), "Waspada", "Bahaya"))</f>
        <v>Waspada</v>
      </c>
    </row>
    <row r="71" spans="3:9" ht="19.5" customHeight="1" x14ac:dyDescent="0.45">
      <c r="C71" s="147"/>
      <c r="D71" s="147"/>
      <c r="E71" s="147"/>
      <c r="F71" s="147"/>
      <c r="G71" s="147"/>
    </row>
    <row r="72" spans="3:9" ht="15.75" customHeight="1" x14ac:dyDescent="0.45">
      <c r="C72" s="148" t="s">
        <v>64</v>
      </c>
      <c r="D72" s="147"/>
      <c r="E72" s="147"/>
      <c r="F72" s="147"/>
      <c r="G72" s="147"/>
    </row>
    <row r="73" spans="3:9" ht="15.75" customHeight="1" x14ac:dyDescent="0.45">
      <c r="C73" s="70" t="s">
        <v>65</v>
      </c>
    </row>
    <row r="74" spans="3:9" ht="27.75" customHeight="1" x14ac:dyDescent="0.45">
      <c r="C74" s="9" t="s">
        <v>66</v>
      </c>
      <c r="D74" s="9" t="s">
        <v>67</v>
      </c>
      <c r="E74" s="9" t="s">
        <v>68</v>
      </c>
      <c r="F74" s="9" t="s">
        <v>69</v>
      </c>
      <c r="G74" s="9" t="s">
        <v>70</v>
      </c>
      <c r="H74" s="9" t="s">
        <v>71</v>
      </c>
      <c r="I74" s="9" t="s">
        <v>72</v>
      </c>
    </row>
    <row r="75" spans="3:9" ht="27.75" customHeight="1" x14ac:dyDescent="0.45">
      <c r="C75" s="58" t="s">
        <v>73</v>
      </c>
      <c r="D75" s="59" t="s">
        <v>74</v>
      </c>
      <c r="E75" s="30" t="s">
        <v>75</v>
      </c>
      <c r="F75" s="54">
        <v>4</v>
      </c>
      <c r="G75" s="54">
        <v>5</v>
      </c>
      <c r="H75" s="10">
        <f>INDEX(Referensi_Threshold!$D$93:$D$117,MATCH(F75*10+G75,Referensi_Threshold!$A$93:$A$117,0))</f>
        <v>24</v>
      </c>
      <c r="I75" s="53" t="str">
        <f>INDEX(Referensi_Threshold!$E$93:$E$117,MATCH(F75*10+G75,Referensi_Threshold!$A$93:$A$117,0))</f>
        <v>High</v>
      </c>
    </row>
    <row r="76" spans="3:9" ht="27.75" customHeight="1" x14ac:dyDescent="0.45">
      <c r="C76" s="58" t="s">
        <v>76</v>
      </c>
      <c r="D76" s="59" t="s">
        <v>77</v>
      </c>
      <c r="E76" s="30" t="s">
        <v>78</v>
      </c>
      <c r="F76" s="54">
        <v>4</v>
      </c>
      <c r="G76" s="54">
        <v>5</v>
      </c>
      <c r="H76" s="10">
        <f>INDEX(Referensi_Threshold!$D$93:$D$117,MATCH(F76*10+G76,Referensi_Threshold!$A$93:$A$117,0))</f>
        <v>24</v>
      </c>
      <c r="I76" s="53" t="str">
        <f>INDEX(Referensi_Threshold!$E$93:$E$117,MATCH(F76*10+G76,Referensi_Threshold!$A$93:$A$117,0))</f>
        <v>High</v>
      </c>
    </row>
    <row r="77" spans="3:9" ht="27.75" customHeight="1" x14ac:dyDescent="0.45">
      <c r="C77" s="58" t="s">
        <v>79</v>
      </c>
      <c r="D77" s="59" t="s">
        <v>80</v>
      </c>
      <c r="E77" s="30" t="s">
        <v>78</v>
      </c>
      <c r="F77" s="54">
        <v>4</v>
      </c>
      <c r="G77" s="54">
        <v>4</v>
      </c>
      <c r="H77" s="10">
        <f>INDEX(Referensi_Threshold!$D$93:$D$117,MATCH(F77*10+G77,Referensi_Threshold!$A$93:$A$117,0))</f>
        <v>19</v>
      </c>
      <c r="I77" s="53" t="str">
        <f>INDEX(Referensi_Threshold!$E$93:$E$117,MATCH(F77*10+G77,Referensi_Threshold!$A$93:$A$117,0))</f>
        <v>Moderate to High</v>
      </c>
    </row>
    <row r="78" spans="3:9" ht="23.25" customHeight="1" x14ac:dyDescent="0.45">
      <c r="C78" s="58" t="s">
        <v>81</v>
      </c>
      <c r="D78" s="59" t="s">
        <v>82</v>
      </c>
      <c r="E78" s="30" t="s">
        <v>83</v>
      </c>
      <c r="F78" s="54">
        <v>3</v>
      </c>
      <c r="G78" s="54">
        <v>3</v>
      </c>
      <c r="H78" s="10">
        <f>INDEX(Referensi_Threshold!$D$93:$D$117,MATCH(F78*10+G78,Referensi_Threshold!$A$93:$A$117,0))</f>
        <v>13</v>
      </c>
      <c r="I78" s="53" t="str">
        <f>INDEX(Referensi_Threshold!$E$93:$E$117,MATCH(F78*10+G78,Referensi_Threshold!$A$93:$A$117,0))</f>
        <v>Moderate</v>
      </c>
    </row>
  </sheetData>
  <mergeCells count="8">
    <mergeCell ref="C3:G3"/>
    <mergeCell ref="C59:G59"/>
    <mergeCell ref="C65:G65"/>
    <mergeCell ref="C72:G72"/>
    <mergeCell ref="C58:G58"/>
    <mergeCell ref="C51:G51"/>
    <mergeCell ref="C71:G71"/>
    <mergeCell ref="C64:G64"/>
  </mergeCells>
  <conditionalFormatting sqref="E24">
    <cfRule type="expression" dxfId="2" priority="2" stopIfTrue="1">
      <formula>ABS(E24-1)&gt;0.001</formula>
    </cfRule>
  </conditionalFormatting>
  <conditionalFormatting sqref="E32">
    <cfRule type="expression" dxfId="1" priority="3" stopIfTrue="1">
      <formula>ABS(E32-1)&gt;0.001</formula>
    </cfRule>
  </conditionalFormatting>
  <conditionalFormatting sqref="E42">
    <cfRule type="expression" dxfId="0" priority="4" stopIfTrue="1">
      <formula>ABS(E42-1)&gt;0.001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392B"/>
  </sheetPr>
  <dimension ref="B2:Z27"/>
  <sheetViews>
    <sheetView showGridLines="0" topLeftCell="A6" zoomScale="85" zoomScaleNormal="85" workbookViewId="0">
      <selection activeCell="G7" sqref="G7"/>
    </sheetView>
  </sheetViews>
  <sheetFormatPr defaultColWidth="8.59765625" defaultRowHeight="14.25" x14ac:dyDescent="0.45"/>
  <cols>
    <col min="1" max="1" width="2" customWidth="1"/>
    <col min="2" max="2" width="26.53125" bestFit="1" customWidth="1"/>
    <col min="3" max="3" width="26" customWidth="1"/>
    <col min="4" max="4" width="18" customWidth="1"/>
    <col min="5" max="5" width="38" customWidth="1"/>
    <col min="6" max="6" width="24" customWidth="1"/>
    <col min="7" max="7" width="36" customWidth="1"/>
    <col min="8" max="8" width="25" customWidth="1"/>
    <col min="26" max="26" width="17.265625" bestFit="1" customWidth="1"/>
  </cols>
  <sheetData>
    <row r="2" spans="2:26" ht="19.5" customHeight="1" x14ac:dyDescent="0.5">
      <c r="B2" s="252" t="s">
        <v>549</v>
      </c>
      <c r="C2" s="147"/>
      <c r="D2" s="147"/>
      <c r="E2" s="147"/>
      <c r="F2" s="147"/>
      <c r="G2" s="147"/>
    </row>
    <row r="3" spans="2:26" ht="15.75" customHeight="1" x14ac:dyDescent="0.45">
      <c r="B3" s="146" t="s">
        <v>550</v>
      </c>
      <c r="C3" s="147"/>
      <c r="D3" s="147"/>
      <c r="E3" s="147"/>
      <c r="F3" s="147"/>
      <c r="G3" s="147"/>
    </row>
    <row r="5" spans="2:26" ht="30" customHeight="1" x14ac:dyDescent="0.45">
      <c r="B5" s="60" t="s">
        <v>551</v>
      </c>
      <c r="C5" s="60" t="s">
        <v>552</v>
      </c>
      <c r="D5" s="60" t="s">
        <v>553</v>
      </c>
      <c r="E5" s="60" t="s">
        <v>554</v>
      </c>
      <c r="F5" s="60" t="s">
        <v>555</v>
      </c>
      <c r="G5" s="60" t="s">
        <v>556</v>
      </c>
      <c r="H5" s="107" t="s">
        <v>557</v>
      </c>
      <c r="Z5" t="s">
        <v>558</v>
      </c>
    </row>
    <row r="6" spans="2:26" ht="73.5" customHeight="1" x14ac:dyDescent="0.45">
      <c r="B6" s="61" t="s">
        <v>559</v>
      </c>
      <c r="C6" s="62" t="s">
        <v>560</v>
      </c>
      <c r="D6" s="63" t="s">
        <v>561</v>
      </c>
      <c r="E6" s="62" t="s">
        <v>562</v>
      </c>
      <c r="F6" s="62" t="s">
        <v>563</v>
      </c>
      <c r="G6" s="62" t="s">
        <v>564</v>
      </c>
      <c r="H6" s="108">
        <v>1</v>
      </c>
      <c r="Z6" s="62">
        <f t="shared" ref="Z6:Z15" si="0">IF(D6="","", IF(ISNUMBER(SEARCH("Moderate to High", D6)), 40, IF(ISNUMBER(SEARCH("High", D6)), 50, IF(ISNUMBER(SEARCH("Low to Moderate", D6)), 20, IF(ISNUMBER(SEARCH("Moderate", D6)), 30, 10)))) + (1/ROW()))</f>
        <v>50.166666666666664</v>
      </c>
    </row>
    <row r="7" spans="2:26" ht="73.5" customHeight="1" x14ac:dyDescent="0.45">
      <c r="B7" s="61" t="s">
        <v>565</v>
      </c>
      <c r="C7" s="62" t="s">
        <v>566</v>
      </c>
      <c r="D7" s="64" t="s">
        <v>567</v>
      </c>
      <c r="E7" s="62" t="s">
        <v>568</v>
      </c>
      <c r="F7" s="62" t="s">
        <v>569</v>
      </c>
      <c r="G7" s="62" t="s">
        <v>570</v>
      </c>
      <c r="H7" s="108">
        <v>2</v>
      </c>
      <c r="Z7" s="62">
        <f t="shared" si="0"/>
        <v>40.142857142857146</v>
      </c>
    </row>
    <row r="8" spans="2:26" ht="73.5" customHeight="1" x14ac:dyDescent="0.45">
      <c r="B8" s="61" t="s">
        <v>571</v>
      </c>
      <c r="C8" s="62" t="s">
        <v>572</v>
      </c>
      <c r="D8" s="64" t="s">
        <v>573</v>
      </c>
      <c r="E8" s="62" t="s">
        <v>574</v>
      </c>
      <c r="F8" s="62" t="s">
        <v>575</v>
      </c>
      <c r="G8" s="62" t="s">
        <v>576</v>
      </c>
      <c r="H8" s="108">
        <v>3</v>
      </c>
      <c r="Z8" s="62">
        <f t="shared" si="0"/>
        <v>40.125</v>
      </c>
    </row>
    <row r="9" spans="2:26" ht="73.5" customHeight="1" x14ac:dyDescent="0.45">
      <c r="B9" s="61" t="s">
        <v>577</v>
      </c>
      <c r="C9" s="62" t="s">
        <v>578</v>
      </c>
      <c r="D9" s="65" t="s">
        <v>579</v>
      </c>
      <c r="E9" s="62" t="s">
        <v>580</v>
      </c>
      <c r="F9" s="62" t="s">
        <v>581</v>
      </c>
      <c r="G9" s="62" t="s">
        <v>582</v>
      </c>
      <c r="H9" s="108">
        <v>4</v>
      </c>
      <c r="Z9" s="62">
        <f t="shared" si="0"/>
        <v>30.111111111111111</v>
      </c>
    </row>
    <row r="10" spans="2:26" ht="73.5" customHeight="1" x14ac:dyDescent="0.45">
      <c r="B10" s="61" t="s">
        <v>583</v>
      </c>
      <c r="C10" s="62" t="s">
        <v>584</v>
      </c>
      <c r="D10" s="65" t="s">
        <v>585</v>
      </c>
      <c r="E10" s="62" t="s">
        <v>586</v>
      </c>
      <c r="F10" s="62" t="s">
        <v>587</v>
      </c>
      <c r="G10" s="62" t="s">
        <v>588</v>
      </c>
      <c r="H10" s="108">
        <v>5</v>
      </c>
      <c r="Z10" s="62">
        <f t="shared" si="0"/>
        <v>30.1</v>
      </c>
    </row>
    <row r="11" spans="2:26" x14ac:dyDescent="0.45">
      <c r="Z11" s="92" t="str">
        <f t="shared" si="0"/>
        <v/>
      </c>
    </row>
    <row r="12" spans="2:26" ht="15" customHeight="1" x14ac:dyDescent="0.45">
      <c r="B12" s="255" t="s">
        <v>589</v>
      </c>
      <c r="C12" s="147"/>
      <c r="D12" s="147"/>
      <c r="E12" s="147"/>
      <c r="F12" s="147"/>
      <c r="G12" s="147"/>
      <c r="Z12" s="92" t="str">
        <f t="shared" si="0"/>
        <v/>
      </c>
    </row>
    <row r="13" spans="2:26" ht="15" customHeight="1" x14ac:dyDescent="0.45">
      <c r="B13" s="147"/>
      <c r="C13" s="147"/>
      <c r="D13" s="147"/>
      <c r="E13" s="147"/>
      <c r="F13" s="147"/>
      <c r="G13" s="147"/>
      <c r="Z13" s="92" t="str">
        <f t="shared" si="0"/>
        <v/>
      </c>
    </row>
    <row r="14" spans="2:26" ht="15" customHeight="1" x14ac:dyDescent="0.45">
      <c r="B14" s="147"/>
      <c r="C14" s="147"/>
      <c r="D14" s="147"/>
      <c r="E14" s="147"/>
      <c r="F14" s="147"/>
      <c r="G14" s="147"/>
      <c r="Z14" s="92" t="str">
        <f t="shared" si="0"/>
        <v/>
      </c>
    </row>
    <row r="15" spans="2:26" x14ac:dyDescent="0.45">
      <c r="Z15" s="92" t="str">
        <f t="shared" si="0"/>
        <v/>
      </c>
    </row>
    <row r="16" spans="2:26" ht="18" customHeight="1" x14ac:dyDescent="0.45">
      <c r="B16" s="254" t="s">
        <v>590</v>
      </c>
      <c r="C16" s="147"/>
      <c r="D16" s="147"/>
      <c r="E16" s="147"/>
      <c r="F16" s="147"/>
      <c r="G16" s="147"/>
    </row>
    <row r="17" spans="2:7" ht="27.75" customHeight="1" x14ac:dyDescent="0.45">
      <c r="B17" s="66" t="s">
        <v>44</v>
      </c>
      <c r="C17" s="67">
        <f>Input_Bulanan!F60</f>
        <v>2</v>
      </c>
      <c r="D17" s="253" t="s">
        <v>591</v>
      </c>
      <c r="E17" s="176"/>
      <c r="F17" s="176"/>
      <c r="G17" s="178"/>
    </row>
    <row r="18" spans="2:7" ht="27.75" customHeight="1" x14ac:dyDescent="0.45">
      <c r="B18" s="66" t="s">
        <v>46</v>
      </c>
      <c r="C18" s="67">
        <f>Input_Bulanan!F61</f>
        <v>3</v>
      </c>
      <c r="D18" s="253" t="s">
        <v>592</v>
      </c>
      <c r="E18" s="176"/>
      <c r="F18" s="176"/>
      <c r="G18" s="178"/>
    </row>
    <row r="19" spans="2:7" ht="27.75" customHeight="1" x14ac:dyDescent="0.45">
      <c r="B19" s="66" t="s">
        <v>48</v>
      </c>
      <c r="C19" s="67">
        <f>Input_Bulanan!F62</f>
        <v>5</v>
      </c>
      <c r="D19" s="253" t="s">
        <v>593</v>
      </c>
      <c r="E19" s="176"/>
      <c r="F19" s="176"/>
      <c r="G19" s="178"/>
    </row>
    <row r="20" spans="2:7" ht="27.75" customHeight="1" x14ac:dyDescent="0.45">
      <c r="B20" s="66" t="s">
        <v>50</v>
      </c>
      <c r="C20" s="67">
        <f>Input_Bulanan!F63</f>
        <v>4</v>
      </c>
      <c r="D20" s="253" t="s">
        <v>594</v>
      </c>
      <c r="E20" s="176"/>
      <c r="F20" s="176"/>
      <c r="G20" s="178"/>
    </row>
    <row r="22" spans="2:7" ht="18" customHeight="1" x14ac:dyDescent="0.45">
      <c r="B22" s="254" t="s">
        <v>595</v>
      </c>
      <c r="C22" s="147"/>
      <c r="D22" s="147"/>
      <c r="E22" s="147"/>
      <c r="F22" s="147"/>
      <c r="G22" s="147"/>
    </row>
    <row r="23" spans="2:7" ht="15" customHeight="1" x14ac:dyDescent="0.45">
      <c r="B23" s="11" t="s">
        <v>66</v>
      </c>
      <c r="C23" s="11" t="s">
        <v>596</v>
      </c>
      <c r="D23" s="11" t="s">
        <v>68</v>
      </c>
      <c r="E23" s="11" t="s">
        <v>597</v>
      </c>
      <c r="F23" s="11" t="s">
        <v>598</v>
      </c>
      <c r="G23" s="11" t="s">
        <v>599</v>
      </c>
    </row>
    <row r="24" spans="2:7" ht="25.5" customHeight="1" x14ac:dyDescent="0.45">
      <c r="B24" s="58" t="str">
        <f>Input_Bulanan!C75</f>
        <v>C1</v>
      </c>
      <c r="C24" s="59" t="str">
        <f>Input_Bulanan!D75</f>
        <v>Salt Supply Disruption (gangguan pasokan garam industri)</v>
      </c>
      <c r="D24" s="30" t="str">
        <f>Input_Bulanan!E75</f>
        <v>Hulu / Supply</v>
      </c>
      <c r="E24" s="68">
        <f>Input_Bulanan!F75</f>
        <v>4</v>
      </c>
      <c r="F24" s="68">
        <f>Input_Bulanan!G75</f>
        <v>5</v>
      </c>
      <c r="G24" s="69" t="str">
        <f>Input_Bulanan!H75 &amp; " | " &amp; Input_Bulanan!I75</f>
        <v>24 | High</v>
      </c>
    </row>
    <row r="25" spans="2:7" ht="25.5" customHeight="1" x14ac:dyDescent="0.45">
      <c r="B25" s="58" t="str">
        <f>Input_Bulanan!C76</f>
        <v>C2</v>
      </c>
      <c r="C25" s="59" t="str">
        <f>Input_Bulanan!D76</f>
        <v>Commissioning Delay (keterlambatan commissioning)</v>
      </c>
      <c r="D25" s="30" t="str">
        <f>Input_Bulanan!E76</f>
        <v>Eksekusi</v>
      </c>
      <c r="E25" s="68">
        <f>Input_Bulanan!F76</f>
        <v>4</v>
      </c>
      <c r="F25" s="68">
        <f>Input_Bulanan!G76</f>
        <v>5</v>
      </c>
      <c r="G25" s="69" t="str">
        <f>Input_Bulanan!H76 &amp; " | " &amp; Input_Bulanan!I76</f>
        <v>24 | High</v>
      </c>
    </row>
    <row r="26" spans="2:7" ht="25.5" customHeight="1" x14ac:dyDescent="0.45">
      <c r="B26" s="58" t="str">
        <f>Input_Bulanan!C77</f>
        <v>C3</v>
      </c>
      <c r="C26" s="59" t="str">
        <f>Input_Bulanan!D77</f>
        <v>EPC Interface Issue (isu EPC interface lintas kontraktor)</v>
      </c>
      <c r="D26" s="30" t="str">
        <f>Input_Bulanan!E77</f>
        <v>Eksekusi</v>
      </c>
      <c r="E26" s="68">
        <f>Input_Bulanan!F77</f>
        <v>4</v>
      </c>
      <c r="F26" s="68">
        <f>Input_Bulanan!G77</f>
        <v>4</v>
      </c>
      <c r="G26" s="69" t="str">
        <f>Input_Bulanan!H77 &amp; " | " &amp; Input_Bulanan!I77</f>
        <v>19 | Moderate to High</v>
      </c>
    </row>
    <row r="27" spans="2:7" ht="25.5" customHeight="1" x14ac:dyDescent="0.45">
      <c r="B27" s="58" t="str">
        <f>Input_Bulanan!C78</f>
        <v>C4</v>
      </c>
      <c r="C27" s="59" t="str">
        <f>Input_Bulanan!D78</f>
        <v>Long Lead Equipment (keterlambatan peralatan utama)</v>
      </c>
      <c r="D27" s="30" t="str">
        <f>Input_Bulanan!E78</f>
        <v>Pengadaan</v>
      </c>
      <c r="E27" s="68">
        <f>Input_Bulanan!F78</f>
        <v>3</v>
      </c>
      <c r="F27" s="68">
        <f>Input_Bulanan!G78</f>
        <v>3</v>
      </c>
      <c r="G27" s="69" t="str">
        <f>Input_Bulanan!H78 &amp; " | " &amp; Input_Bulanan!I78</f>
        <v>13 | Moderate</v>
      </c>
    </row>
  </sheetData>
  <mergeCells count="9">
    <mergeCell ref="B2:G2"/>
    <mergeCell ref="D18:G18"/>
    <mergeCell ref="B16:G16"/>
    <mergeCell ref="D17:G17"/>
    <mergeCell ref="B22:G22"/>
    <mergeCell ref="D20:G20"/>
    <mergeCell ref="D19:G19"/>
    <mergeCell ref="B12:G14"/>
    <mergeCell ref="B3:G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Panduan</vt:lpstr>
      <vt:lpstr>Config</vt:lpstr>
      <vt:lpstr>Referensi_Threshold</vt:lpstr>
      <vt:lpstr>Dashboard</vt:lpstr>
      <vt:lpstr>Input_Bulanan</vt:lpstr>
      <vt:lpstr>Risk_Action_Tracker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Farhan Jezando W</cp:lastModifiedBy>
  <cp:revision>0</cp:revision>
  <dcterms:created xsi:type="dcterms:W3CDTF">2026-07-02T19:04:54Z</dcterms:created>
  <dcterms:modified xsi:type="dcterms:W3CDTF">2026-07-24T01:13:12Z</dcterms:modified>
  <dc:language>en-US</dc:language>
</cp:coreProperties>
</file>